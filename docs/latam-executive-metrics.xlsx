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How to read" sheetId="1" r:id="rId1"/>
    <sheet name="Scorecard" sheetId="2" r:id="rId2"/>
    <sheet name="Countries" sheetId="3" r:id="rId3"/>
  </sheets>
</workbook>
</file>

<file path=xl/styles.xml><?xml version="1.0" encoding="utf-8"?>
<styleSheet xmlns="http://schemas.openxmlformats.org/spreadsheetml/2006/main">
  <numFmts count="5">
    <numFmt numFmtId="164" formatCode="#,##0"/>
    <numFmt numFmtId="165" formatCode="&quot;$&quot;#,##0"/>
    <numFmt numFmtId="166" formatCode="0%"/>
    <numFmt numFmtId="167" formatCode="0.0%"/>
    <numFmt numFmtId="168" formatCode="0.0"/>
  </numFmts>
  <fonts count="3">
    <font>
      <sz val="11"/>
      <name val="Calibri"/>
    </font>
    <font>
      <b/>
      <sz val="11"/>
      <color rgb="FFFFFFFF"/>
      <name val="Calibri"/>
    </font>
    <font>
      <b/>
      <sz val="14"/>
      <color rgb="FF11255A"/>
      <name val="Calibri"/>
    </font>
  </fonts>
  <fills count="4">
    <fill>
      <patternFill patternType="none"/>
    </fill>
    <fill>
      <patternFill patternType="gray125"/>
    </fill>
    <fill>
      <patternFill patternType="solid">
        <fgColor rgb="FF11255A"/>
      </patternFill>
    </fill>
    <fill>
      <patternFill patternType="solid">
        <fgColor rgb="FFFFF4D6"/>
      </patternFill>
    </fill>
  </fills>
  <borders count="1">
    <border>
      <left/>
      <right/>
      <top/>
      <bottom/>
      <diagonal/>
    </border>
  </borders>
  <cellStyleXfs count="1">
    <xf numFmtId="0" fontId="0" fillId="0" borderId="0"/>
  </cellStyleXfs>
  <cellXfs count="10">
    <xf numFmtId="0" fontId="0" fillId="0" borderId="0" xfId="0"/>
    <xf numFmtId="0" fontId="1" fillId="2" borderId="0" xfId="0" applyFont="1" applyFill="1" applyAlignment="1">
      <alignment wrapText="1" vertical="center"/>
    </xf>
    <xf numFmtId="164" fontId="0" fillId="3" borderId="0" xfId="0" applyNumberFormat="1" applyFill="1"/>
    <xf numFmtId="165" fontId="0" fillId="3" borderId="0" xfId="0" applyNumberFormat="1" applyFill="1"/>
    <xf numFmtId="167" fontId="0" fillId="3" borderId="0" xfId="0" applyNumberFormat="1" applyFill="1"/>
    <xf numFmtId="166" fontId="0" fillId="0" borderId="0" xfId="0" applyNumberFormat="1"/>
    <xf numFmtId="0" fontId="0" fillId="0" borderId="0" xfId="0" applyAlignment="1">
      <alignment wrapText="1" vertical="top"/>
    </xf>
    <xf numFmtId="0" fontId="0" fillId="0" borderId="0" xfId="0" applyFont="1">
      <alignment vertical="center"/>
    </xf>
    <xf numFmtId="0" fontId="2" fillId="0" borderId="0" xfId="0" applyFont="1"/>
    <xf numFmtId="168" fontId="0" fillId="3" borderId="0" xfId="0" applyNumberFormat="1" applyFill="1"/>
  </cellXfs>
  <dxfs count="5">
    <dxf>
      <font>
        <b/>
        <color rgb="FF1D4E89"/>
      </font>
      <fill>
        <patternFill patternType="solid">
          <fgColor rgb="FFD6E4FF"/>
        </patternFill>
      </fill>
    </dxf>
    <dxf>
      <font>
        <b/>
        <color rgb="FF1F8A4C"/>
      </font>
      <fill>
        <patternFill patternType="solid">
          <fgColor rgb="FFE7F5EC"/>
        </patternFill>
      </fill>
    </dxf>
    <dxf>
      <font>
        <b/>
        <color rgb="FFA86400"/>
      </font>
      <fill>
        <patternFill patternType="solid">
          <fgColor rgb="FFFDF3E1"/>
        </patternFill>
      </fill>
    </dxf>
    <dxf>
      <font>
        <b/>
        <color rgb="FFC0362C"/>
      </font>
      <fill>
        <patternFill patternType="solid">
          <fgColor rgb="FFFBEAEA"/>
        </patternFill>
      </fill>
    </dxf>
    <dxf>
      <font>
        <b/>
        <color rgb="FF1F8A4C"/>
      </font>
      <fill>
        <patternFill patternType="solid">
          <fgColor rgb="FFE7F5EC"/>
        </patternFill>
      </fill>
    </dxf>
  </dxf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styles" Target="styles.xml"/></Relationships>
</file>

<file path=xl/worksheets/sheet1.xml><?xml version="1.0" encoding="utf-8"?>
<worksheet xmlns="http://schemas.openxmlformats.org/spreadsheetml/2006/main">
  <sheetViews>
    <sheetView workbookViewId="0"/>
  </sheetViews>
  <cols>
    <col min="1" max="1" width="120" customWidth="1"/>
  </cols>
  <sheetData>
    <row r="1" ht="24" customHeight="1">
      <c r="A1" s="8" t="inlineStr">
        <is>
          <t xml:space="preserve">How to read this scorecard</t>
        </is>
      </c>
    </row>
    <row r="2" ht="36" customHeight="1">
      <c r="A2" s="6" t="inlineStr">
        <is>
          <t xml:space="preserve">This workbook is the list of executive metrics for the LATAM launch. Yellow cells are yours to fill. Number and % of target are formulas.</t>
        </is>
      </c>
    </row>
    <row r="3" ht="36" customHeight="1">
      <c r="A3" s="6" t="inlineStr">
        <is>
          <t xml:space="preserve">One row is one metric for the whole app. Targets are app-wide. There is no target per country.</t>
        </is>
      </c>
    </row>
    <row r="4" ht="36" customHeight="1">
      <c r="A4" s="6" t="inlineStr">
        <is>
          <t xml:space="preserve">Months run from October 2026 through March 2027. For each month: Target, Actual, Number, and % of target.</t>
        </is>
      </c>
    </row>
    <row r="5" ht="36" customHeight="1">
      <c r="A5" s="6" t="inlineStr">
        <is>
          <t xml:space="preserve">Number shows the actual beside the target. A count of 10 against a target of 20 reads 10 of 20. A rate of 25% against a target of 40% reads 25.0% of 40.0%.</t>
        </is>
      </c>
    </row>
    <row r="6" ht="36" customHeight="1">
      <c r="A6" s="6" t="inlineStr">
        <is>
          <t xml:space="preserve">% of target is actual divided by target when higher is better, and when the row is On budget. For Lower, it is target divided by actual, so a cheaper result still reads above 100%.</t>
        </is>
      </c>
    </row>
    <row r="7" ht="36" customHeight="1">
      <c r="A7" s="6" t="inlineStr">
        <is>
          <t xml:space="preserve">Color on % of target: blue at 110% or above, green at 100% or above, amber from 90% up to 100%, red under 90%. On budget rows are green within 10 points of 100%, amber within 20, and red beyond that. Close to the budget is the goal, not the highest spend.</t>
        </is>
      </c>
    </row>
    <row r="8" ht="36" customHeight="1">
      <c r="A8" s="6" t="inlineStr">
        <is>
          <t xml:space="preserve">Country split: Yes means the visitor or account country. Campaign geo means the country the ad targets. No means the number stays app-wide (LinkedIn page totals) when a country is selected on the dashboard.</t>
        </is>
      </c>
    </row>
    <row r="9" ht="36" customHeight="1">
      <c r="A9" s="6" t="inlineStr">
        <is>
          <t xml:space="preserve">The dashboard country control is a checkbox labeled All, on by default, and a checklist of every country on the Countries sheet. Checking All shows these app-wide figures. Unchecking All clears the list so one or more countries can be chosen. Counts add up across the checked countries. Rates are recomputed from the combined counts. The percent still compares that selection with the app-wide target on this sheet.</t>
        </is>
      </c>
    </row>
    <row r="10" ht="36" customHeight="1">
      <c r="A10" s="6" t="inlineStr">
        <is>
          <t xml:space="preserve">Suggested source is a hint from the current dashboard, not a decision. Billing for paid subscriptions and CAC is not connected yet.</t>
        </is>
      </c>
    </row>
    <row r="11" ht="36" customHeight="1">
      <c r="A11" s="6" t="inlineStr">
        <is>
          <t xml:space="preserve">Sign-up to paid conversion: of the external sign-ups in the month, how many start a paid subscription. On the dashboard the number reads paid of sign-ups (for example 10 of 20). In this sheet the target and actual are the rate, and the number reads the actual rate of the target rate.</t>
        </is>
      </c>
    </row>
    <row r="12" ht="36" customHeight="1">
      <c r="A12" s="6" t="inlineStr">
        <is>
          <t xml:space="preserve">CAC is ad spend divided by new sign-ups, for the day or for the month. Cost per paying customer is ad spend divided by new paid subscriptions.</t>
        </is>
      </c>
    </row>
    <row r="13" ht="36" customHeight="1">
      <c r="A13" s="6" t="inlineStr">
        <is>
          <t xml:space="preserve">Form completion is form completed divided by form started.</t>
        </is>
      </c>
    </row>
    <row r="14" ht="36" customHeight="1">
      <c r="A14" s="6" t="inlineStr">
        <is>
          <t xml:space="preserve">Customers, active customers, and accounts with a project are the level at month end. Activity is active customers divided by open accounts. Active means the customer used the app in the last 7 days.</t>
        </is>
      </c>
    </row>
    <row r="15" ht="36" customHeight="1">
      <c r="A15" s="6" t="inlineStr">
        <is>
          <t xml:space="preserve">Cancellation is accounts canceled or deleted in the month divided by customers at the start of the month. Churn is customers who paid last month and are no longer paying, divided by everyone who was paying at the end of last month.</t>
        </is>
      </c>
    </row>
    <row r="16" ht="36" customHeight="1">
      <c r="A16" s="6" t="inlineStr">
        <is>
          <t xml:space="preserve">Avg projects is projects divided by open accounts. Avg credits is credits spent in the last 7 days divided by active customers. Number rows use one decimal place.</t>
        </is>
      </c>
    </row>
    <row r="17" ht="36" customHeight="1">
      <c r="A17" s="6" t="inlineStr">
        <is>
          <t xml:space="preserve">A preview with invented October figures is in sample/executive. Those numbers are not copied here.</t>
        </is>
      </c>
    </row>
  </sheetData>
</worksheet>
</file>

<file path=xl/worksheets/sheet2.xml><?xml version="1.0" encoding="utf-8"?>
<worksheet xmlns="http://schemas.openxmlformats.org/spreadsheetml/2006/main">
  <dimension ref="A1:AE46"/>
  <sheetViews>
    <sheetView workbookViewId="0">
      <pane xSplit="2" ySplit="2" topLeftCell="C3" activePane="bottomRight" state="frozen"/>
    </sheetView>
  </sheetViews>
  <sheetFormatPr defaultRowHeight="18"/>
  <cols>
    <col min="1" max="1" width="24" customWidth="1"/>
    <col min="2" max="2" width="32" customWidth="1"/>
    <col min="3" max="3" width="78" customWidth="1"/>
    <col min="4" max="4" width="12" customWidth="1"/>
    <col min="5" max="5" width="14" customWidth="1"/>
    <col min="6" max="6" width="16" customWidth="1"/>
    <col min="7" max="7" width="46" customWidth="1"/>
    <col min="8" max="8" width="14" customWidth="1"/>
    <col min="9" max="9" width="14" customWidth="1"/>
    <col min="10" max="10" width="24" customWidth="1"/>
    <col min="11" max="11" width="14" customWidth="1"/>
    <col min="12" max="12" width="14" customWidth="1"/>
    <col min="13" max="13" width="14" customWidth="1"/>
    <col min="14" max="14" width="24" customWidth="1"/>
    <col min="15" max="15" width="14" customWidth="1"/>
    <col min="16" max="16" width="14" customWidth="1"/>
    <col min="17" max="17" width="14" customWidth="1"/>
    <col min="18" max="18" width="24" customWidth="1"/>
    <col min="19" max="19" width="14" customWidth="1"/>
    <col min="20" max="20" width="14" customWidth="1"/>
    <col min="21" max="21" width="14" customWidth="1"/>
    <col min="22" max="22" width="24" customWidth="1"/>
    <col min="23" max="23" width="14" customWidth="1"/>
    <col min="24" max="24" width="14" customWidth="1"/>
    <col min="25" max="25" width="14" customWidth="1"/>
    <col min="26" max="26" width="24" customWidth="1"/>
    <col min="27" max="27" width="14" customWidth="1"/>
    <col min="28" max="28" width="14" customWidth="1"/>
    <col min="29" max="29" width="14" customWidth="1"/>
    <col min="30" max="30" width="24" customWidth="1"/>
    <col min="31" max="31" width="14" customWidth="1"/>
  </cols>
  <sheetData>
    <row r="1" ht="22" customHeight="1">
      <c r="H1" s="1" t="inlineStr">
        <is>
          <t xml:space="preserve">Oct 2026</t>
        </is>
      </c>
      <c r="L1" s="1" t="inlineStr">
        <is>
          <t xml:space="preserve">Nov 2026</t>
        </is>
      </c>
      <c r="P1" s="1" t="inlineStr">
        <is>
          <t xml:space="preserve">Dec 2026</t>
        </is>
      </c>
      <c r="T1" s="1" t="inlineStr">
        <is>
          <t xml:space="preserve">Jan 2027</t>
        </is>
      </c>
      <c r="X1" s="1" t="inlineStr">
        <is>
          <t xml:space="preserve">Feb 2027</t>
        </is>
      </c>
      <c r="AB1" s="1" t="inlineStr">
        <is>
          <t xml:space="preserve">Mar 2027</t>
        </is>
      </c>
    </row>
    <row r="2" ht="22" customHeight="1">
      <c r="A2" s="1" t="inlineStr">
        <is>
          <t xml:space="preserve">Section</t>
        </is>
      </c>
      <c r="B2" s="1" t="inlineStr">
        <is>
          <t xml:space="preserve">Metric</t>
        </is>
      </c>
      <c r="C2" s="1" t="inlineStr">
        <is>
          <t xml:space="preserve">Definition</t>
        </is>
      </c>
      <c r="D2" s="1" t="inlineStr">
        <is>
          <t xml:space="preserve">Unit</t>
        </is>
      </c>
      <c r="E2" s="1" t="inlineStr">
        <is>
          <t xml:space="preserve">Better when</t>
        </is>
      </c>
      <c r="F2" s="1" t="inlineStr">
        <is>
          <t xml:space="preserve">Country split</t>
        </is>
      </c>
      <c r="G2" s="1" t="inlineStr">
        <is>
          <t xml:space="preserve">Suggested source</t>
        </is>
      </c>
      <c r="H2" s="1" t="inlineStr">
        <is>
          <t xml:space="preserve">Target</t>
        </is>
      </c>
      <c r="I2" s="1" t="inlineStr">
        <is>
          <t xml:space="preserve">Actual</t>
        </is>
      </c>
      <c r="J2" s="1" t="inlineStr">
        <is>
          <t xml:space="preserve">Number</t>
        </is>
      </c>
      <c r="K2" s="1" t="inlineStr">
        <is>
          <t xml:space="preserve">% of target</t>
        </is>
      </c>
      <c r="L2" s="1" t="inlineStr">
        <is>
          <t xml:space="preserve">Target</t>
        </is>
      </c>
      <c r="M2" s="1" t="inlineStr">
        <is>
          <t xml:space="preserve">Actual</t>
        </is>
      </c>
      <c r="N2" s="1" t="inlineStr">
        <is>
          <t xml:space="preserve">Number</t>
        </is>
      </c>
      <c r="O2" s="1" t="inlineStr">
        <is>
          <t xml:space="preserve">% of target</t>
        </is>
      </c>
      <c r="P2" s="1" t="inlineStr">
        <is>
          <t xml:space="preserve">Target</t>
        </is>
      </c>
      <c r="Q2" s="1" t="inlineStr">
        <is>
          <t xml:space="preserve">Actual</t>
        </is>
      </c>
      <c r="R2" s="1" t="inlineStr">
        <is>
          <t xml:space="preserve">Number</t>
        </is>
      </c>
      <c r="S2" s="1" t="inlineStr">
        <is>
          <t xml:space="preserve">% of target</t>
        </is>
      </c>
      <c r="T2" s="1" t="inlineStr">
        <is>
          <t xml:space="preserve">Target</t>
        </is>
      </c>
      <c r="U2" s="1" t="inlineStr">
        <is>
          <t xml:space="preserve">Actual</t>
        </is>
      </c>
      <c r="V2" s="1" t="inlineStr">
        <is>
          <t xml:space="preserve">Number</t>
        </is>
      </c>
      <c r="W2" s="1" t="inlineStr">
        <is>
          <t xml:space="preserve">% of target</t>
        </is>
      </c>
      <c r="X2" s="1" t="inlineStr">
        <is>
          <t xml:space="preserve">Target</t>
        </is>
      </c>
      <c r="Y2" s="1" t="inlineStr">
        <is>
          <t xml:space="preserve">Actual</t>
        </is>
      </c>
      <c r="Z2" s="1" t="inlineStr">
        <is>
          <t xml:space="preserve">Number</t>
        </is>
      </c>
      <c r="AA2" s="1" t="inlineStr">
        <is>
          <t xml:space="preserve">% of target</t>
        </is>
      </c>
      <c r="AB2" s="1" t="inlineStr">
        <is>
          <t xml:space="preserve">Target</t>
        </is>
      </c>
      <c r="AC2" s="1" t="inlineStr">
        <is>
          <t xml:space="preserve">Actual</t>
        </is>
      </c>
      <c r="AD2" s="1" t="inlineStr">
        <is>
          <t xml:space="preserve">Number</t>
        </is>
      </c>
      <c r="AE2" s="1" t="inlineStr">
        <is>
          <t xml:space="preserve">% of target</t>
        </is>
      </c>
    </row>
    <row r="3" ht="48" customHeight="1">
      <c r="A3" s="0" t="inlineStr">
        <is>
          <t xml:space="preserve">Marketing campaigns</t>
        </is>
      </c>
      <c r="B3" s="0" t="inlineStr">
        <is>
          <t xml:space="preserve">Ad spend</t>
        </is>
      </c>
      <c r="C3" s="6" t="inlineStr">
        <is>
          <t xml:space="preserve">Sum of Meta, LinkedIn, and Google Ads spend in the month. Close to 100% of the monthly budget is the goal.</t>
        </is>
      </c>
      <c r="D3" s="0" t="inlineStr">
        <is>
          <t xml:space="preserve">Currency</t>
        </is>
      </c>
      <c r="E3" s="0" t="inlineStr">
        <is>
          <t xml:space="preserve">On budget</t>
        </is>
      </c>
      <c r="F3" s="0" t="inlineStr">
        <is>
          <t xml:space="preserve">Campaign geo</t>
        </is>
      </c>
      <c r="G3" s="6" t="inlineStr">
        <is>
          <t xml:space="preserve">Meta, LinkedIn, Google Ads</t>
        </is>
      </c>
      <c r="H3" s="3"/>
      <c r="I3" s="3"/>
      <c r="J3" s="0">
        <f>IF(OR(H3="",I3=""),"",TEXT(I3,"$#,##0")&amp;" of "&amp;TEXT(H3,"$#,##0"))</f>
      </c>
      <c r="K3" s="5">
        <f>IF(OR(H3="",I3="",H3=0),"",I3/H3)</f>
      </c>
      <c r="L3" s="3"/>
      <c r="M3" s="3"/>
      <c r="N3" s="0">
        <f>IF(OR(L3="",M3=""),"",TEXT(M3,"$#,##0")&amp;" of "&amp;TEXT(L3,"$#,##0"))</f>
      </c>
      <c r="O3" s="5">
        <f>IF(OR(L3="",M3="",L3=0),"",M3/L3)</f>
      </c>
      <c r="P3" s="3"/>
      <c r="Q3" s="3"/>
      <c r="R3" s="0">
        <f>IF(OR(P3="",Q3=""),"",TEXT(Q3,"$#,##0")&amp;" of "&amp;TEXT(P3,"$#,##0"))</f>
      </c>
      <c r="S3" s="5">
        <f>IF(OR(P3="",Q3="",P3=0),"",Q3/P3)</f>
      </c>
      <c r="T3" s="3"/>
      <c r="U3" s="3"/>
      <c r="V3" s="0">
        <f>IF(OR(T3="",U3=""),"",TEXT(U3,"$#,##0")&amp;" of "&amp;TEXT(T3,"$#,##0"))</f>
      </c>
      <c r="W3" s="5">
        <f>IF(OR(T3="",U3="",T3=0),"",U3/T3)</f>
      </c>
      <c r="X3" s="3"/>
      <c r="Y3" s="3"/>
      <c r="Z3" s="0">
        <f>IF(OR(X3="",Y3=""),"",TEXT(Y3,"$#,##0")&amp;" of "&amp;TEXT(X3,"$#,##0"))</f>
      </c>
      <c r="AA3" s="5">
        <f>IF(OR(X3="",Y3="",X3=0),"",Y3/X3)</f>
      </c>
      <c r="AB3" s="3"/>
      <c r="AC3" s="3"/>
      <c r="AD3" s="0">
        <f>IF(OR(AB3="",AC3=""),"",TEXT(AC3,"$#,##0")&amp;" of "&amp;TEXT(AB3,"$#,##0"))</f>
      </c>
      <c r="AE3" s="5">
        <f>IF(OR(AB3="",AC3="",AB3=0),"",AC3/AB3)</f>
      </c>
    </row>
    <row r="4" ht="48" customHeight="1">
      <c r="A4" s="0" t="inlineStr">
        <is>
          <t xml:space="preserve">Marketing campaigns</t>
        </is>
      </c>
      <c r="B4" s="0" t="inlineStr">
        <is>
          <t xml:space="preserve">Impressions</t>
        </is>
      </c>
      <c r="C4" s="6" t="inlineStr">
        <is>
          <t xml:space="preserve">Paid impressions across Meta, LinkedIn, and Google Ads. The dashboard breaks this out by platform.</t>
        </is>
      </c>
      <c r="D4" s="0" t="inlineStr">
        <is>
          <t xml:space="preserve">Count</t>
        </is>
      </c>
      <c r="E4" s="0" t="inlineStr">
        <is>
          <t xml:space="preserve">Higher</t>
        </is>
      </c>
      <c r="F4" s="0" t="inlineStr">
        <is>
          <t xml:space="preserve">Campaign geo</t>
        </is>
      </c>
      <c r="G4" s="6" t="inlineStr">
        <is>
          <t xml:space="preserve">Meta, LinkedIn, Google Ads</t>
        </is>
      </c>
      <c r="H4" s="2"/>
      <c r="I4" s="2"/>
      <c r="J4" s="0">
        <f>IF(OR(H4="",I4=""),"",TEXT(I4,"#,##0")&amp;" of "&amp;TEXT(H4,"#,##0"))</f>
      </c>
      <c r="K4" s="5">
        <f>IF(OR(H4="",I4="",H4=0),"",I4/H4)</f>
      </c>
      <c r="L4" s="2"/>
      <c r="M4" s="2"/>
      <c r="N4" s="0">
        <f>IF(OR(L4="",M4=""),"",TEXT(M4,"#,##0")&amp;" of "&amp;TEXT(L4,"#,##0"))</f>
      </c>
      <c r="O4" s="5">
        <f>IF(OR(L4="",M4="",L4=0),"",M4/L4)</f>
      </c>
      <c r="P4" s="2"/>
      <c r="Q4" s="2"/>
      <c r="R4" s="0">
        <f>IF(OR(P4="",Q4=""),"",TEXT(Q4,"#,##0")&amp;" of "&amp;TEXT(P4,"#,##0"))</f>
      </c>
      <c r="S4" s="5">
        <f>IF(OR(P4="",Q4="",P4=0),"",Q4/P4)</f>
      </c>
      <c r="T4" s="2"/>
      <c r="U4" s="2"/>
      <c r="V4" s="0">
        <f>IF(OR(T4="",U4=""),"",TEXT(U4,"#,##0")&amp;" of "&amp;TEXT(T4,"#,##0"))</f>
      </c>
      <c r="W4" s="5">
        <f>IF(OR(T4="",U4="",T4=0),"",U4/T4)</f>
      </c>
      <c r="X4" s="2"/>
      <c r="Y4" s="2"/>
      <c r="Z4" s="0">
        <f>IF(OR(X4="",Y4=""),"",TEXT(Y4,"#,##0")&amp;" of "&amp;TEXT(X4,"#,##0"))</f>
      </c>
      <c r="AA4" s="5">
        <f>IF(OR(X4="",Y4="",X4=0),"",Y4/X4)</f>
      </c>
      <c r="AB4" s="2"/>
      <c r="AC4" s="2"/>
      <c r="AD4" s="0">
        <f>IF(OR(AB4="",AC4=""),"",TEXT(AC4,"#,##0")&amp;" of "&amp;TEXT(AB4,"#,##0"))</f>
      </c>
      <c r="AE4" s="5">
        <f>IF(OR(AB4="",AC4="",AB4=0),"",AC4/AB4)</f>
      </c>
    </row>
    <row r="5" ht="48" customHeight="1">
      <c r="A5" s="0" t="inlineStr">
        <is>
          <t xml:space="preserve">Marketing campaigns</t>
        </is>
      </c>
      <c r="B5" s="0" t="inlineStr">
        <is>
          <t xml:space="preserve">Clicks</t>
        </is>
      </c>
      <c r="C5" s="6" t="inlineStr">
        <is>
          <t xml:space="preserve">Paid clicks across Meta, LinkedIn, and Google Ads.</t>
        </is>
      </c>
      <c r="D5" s="0" t="inlineStr">
        <is>
          <t xml:space="preserve">Count</t>
        </is>
      </c>
      <c r="E5" s="0" t="inlineStr">
        <is>
          <t xml:space="preserve">Higher</t>
        </is>
      </c>
      <c r="F5" s="0" t="inlineStr">
        <is>
          <t xml:space="preserve">Campaign geo</t>
        </is>
      </c>
      <c r="G5" s="6" t="inlineStr">
        <is>
          <t xml:space="preserve">Meta, LinkedIn, Google Ads</t>
        </is>
      </c>
      <c r="H5" s="2"/>
      <c r="I5" s="2"/>
      <c r="J5" s="0">
        <f>IF(OR(H5="",I5=""),"",TEXT(I5,"#,##0")&amp;" of "&amp;TEXT(H5,"#,##0"))</f>
      </c>
      <c r="K5" s="5">
        <f>IF(OR(H5="",I5="",H5=0),"",I5/H5)</f>
      </c>
      <c r="L5" s="2"/>
      <c r="M5" s="2"/>
      <c r="N5" s="0">
        <f>IF(OR(L5="",M5=""),"",TEXT(M5,"#,##0")&amp;" of "&amp;TEXT(L5,"#,##0"))</f>
      </c>
      <c r="O5" s="5">
        <f>IF(OR(L5="",M5="",L5=0),"",M5/L5)</f>
      </c>
      <c r="P5" s="2"/>
      <c r="Q5" s="2"/>
      <c r="R5" s="0">
        <f>IF(OR(P5="",Q5=""),"",TEXT(Q5,"#,##0")&amp;" of "&amp;TEXT(P5,"#,##0"))</f>
      </c>
      <c r="S5" s="5">
        <f>IF(OR(P5="",Q5="",P5=0),"",Q5/P5)</f>
      </c>
      <c r="T5" s="2"/>
      <c r="U5" s="2"/>
      <c r="V5" s="0">
        <f>IF(OR(T5="",U5=""),"",TEXT(U5,"#,##0")&amp;" of "&amp;TEXT(T5,"#,##0"))</f>
      </c>
      <c r="W5" s="5">
        <f>IF(OR(T5="",U5="",T5=0),"",U5/T5)</f>
      </c>
      <c r="X5" s="2"/>
      <c r="Y5" s="2"/>
      <c r="Z5" s="0">
        <f>IF(OR(X5="",Y5=""),"",TEXT(Y5,"#,##0")&amp;" of "&amp;TEXT(X5,"#,##0"))</f>
      </c>
      <c r="AA5" s="5">
        <f>IF(OR(X5="",Y5="",X5=0),"",Y5/X5)</f>
      </c>
      <c r="AB5" s="2"/>
      <c r="AC5" s="2"/>
      <c r="AD5" s="0">
        <f>IF(OR(AB5="",AC5=""),"",TEXT(AC5,"#,##0")&amp;" of "&amp;TEXT(AB5,"#,##0"))</f>
      </c>
      <c r="AE5" s="5">
        <f>IF(OR(AB5="",AC5="",AB5=0),"",AC5/AB5)</f>
      </c>
    </row>
    <row r="6" ht="48" customHeight="1">
      <c r="A6" s="0" t="inlineStr">
        <is>
          <t xml:space="preserve">Marketing campaigns</t>
        </is>
      </c>
      <c r="B6" s="0" t="inlineStr">
        <is>
          <t xml:space="preserve">Click-through rate</t>
        </is>
      </c>
      <c r="C6" s="6" t="inlineStr">
        <is>
          <t xml:space="preserve">Paid clicks divided by paid impressions.</t>
        </is>
      </c>
      <c r="D6" s="0" t="inlineStr">
        <is>
          <t xml:space="preserve">Rate</t>
        </is>
      </c>
      <c r="E6" s="0" t="inlineStr">
        <is>
          <t xml:space="preserve">Higher</t>
        </is>
      </c>
      <c r="F6" s="0" t="inlineStr">
        <is>
          <t xml:space="preserve">Campaign geo</t>
        </is>
      </c>
      <c r="G6" s="6" t="inlineStr">
        <is>
          <t xml:space="preserve">Meta, LinkedIn, Google Ads</t>
        </is>
      </c>
      <c r="H6" s="4"/>
      <c r="I6" s="4"/>
      <c r="J6" s="0">
        <f>IF(OR(H6="",I6=""),"",TEXT(I6,"0.0%")&amp;" of "&amp;TEXT(H6,"0.0%"))</f>
      </c>
      <c r="K6" s="5">
        <f>IF(OR(H6="",I6="",H6=0),"",I6/H6)</f>
      </c>
      <c r="L6" s="4"/>
      <c r="M6" s="4"/>
      <c r="N6" s="0">
        <f>IF(OR(L6="",M6=""),"",TEXT(M6,"0.0%")&amp;" of "&amp;TEXT(L6,"0.0%"))</f>
      </c>
      <c r="O6" s="5">
        <f>IF(OR(L6="",M6="",L6=0),"",M6/L6)</f>
      </c>
      <c r="P6" s="4"/>
      <c r="Q6" s="4"/>
      <c r="R6" s="0">
        <f>IF(OR(P6="",Q6=""),"",TEXT(Q6,"0.0%")&amp;" of "&amp;TEXT(P6,"0.0%"))</f>
      </c>
      <c r="S6" s="5">
        <f>IF(OR(P6="",Q6="",P6=0),"",Q6/P6)</f>
      </c>
      <c r="T6" s="4"/>
      <c r="U6" s="4"/>
      <c r="V6" s="0">
        <f>IF(OR(T6="",U6=""),"",TEXT(U6,"0.0%")&amp;" of "&amp;TEXT(T6,"0.0%"))</f>
      </c>
      <c r="W6" s="5">
        <f>IF(OR(T6="",U6="",T6=0),"",U6/T6)</f>
      </c>
      <c r="X6" s="4"/>
      <c r="Y6" s="4"/>
      <c r="Z6" s="0">
        <f>IF(OR(X6="",Y6=""),"",TEXT(Y6,"0.0%")&amp;" of "&amp;TEXT(X6,"0.0%"))</f>
      </c>
      <c r="AA6" s="5">
        <f>IF(OR(X6="",Y6="",X6=0),"",Y6/X6)</f>
      </c>
      <c r="AB6" s="4"/>
      <c r="AC6" s="4"/>
      <c r="AD6" s="0">
        <f>IF(OR(AB6="",AC6=""),"",TEXT(AC6,"0.0%")&amp;" of "&amp;TEXT(AB6,"0.0%"))</f>
      </c>
      <c r="AE6" s="5">
        <f>IF(OR(AB6="",AC6="",AB6=0),"",AC6/AB6)</f>
      </c>
    </row>
    <row r="7" ht="48" customHeight="1">
      <c r="A7" s="0" t="inlineStr">
        <is>
          <t xml:space="preserve">Marketing campaigns</t>
        </is>
      </c>
      <c r="B7" s="0" t="inlineStr">
        <is>
          <t xml:space="preserve">Cost per click</t>
        </is>
      </c>
      <c r="C7" s="6" t="inlineStr">
        <is>
          <t xml:space="preserve">Ad spend divided by paid clicks. Lower is better. A shorter range keeps this cost. It does not scale it.</t>
        </is>
      </c>
      <c r="D7" s="0" t="inlineStr">
        <is>
          <t xml:space="preserve">Currency</t>
        </is>
      </c>
      <c r="E7" s="0" t="inlineStr">
        <is>
          <t xml:space="preserve">Lower</t>
        </is>
      </c>
      <c r="F7" s="0" t="inlineStr">
        <is>
          <t xml:space="preserve">Campaign geo</t>
        </is>
      </c>
      <c r="G7" s="6" t="inlineStr">
        <is>
          <t xml:space="preserve">Meta, LinkedIn, Google Ads</t>
        </is>
      </c>
      <c r="H7" s="3"/>
      <c r="I7" s="3"/>
      <c r="J7" s="0">
        <f>IF(OR(H7="",I7=""),"",TEXT(I7,"$#,##0")&amp;" of "&amp;TEXT(H7,"$#,##0"))</f>
      </c>
      <c r="K7" s="5">
        <f>IF(OR(H7="",I7="",I7=0),"",H7/I7)</f>
      </c>
      <c r="L7" s="3"/>
      <c r="M7" s="3"/>
      <c r="N7" s="0">
        <f>IF(OR(L7="",M7=""),"",TEXT(M7,"$#,##0")&amp;" of "&amp;TEXT(L7,"$#,##0"))</f>
      </c>
      <c r="O7" s="5">
        <f>IF(OR(L7="",M7="",M7=0),"",L7/M7)</f>
      </c>
      <c r="P7" s="3"/>
      <c r="Q7" s="3"/>
      <c r="R7" s="0">
        <f>IF(OR(P7="",Q7=""),"",TEXT(Q7,"$#,##0")&amp;" of "&amp;TEXT(P7,"$#,##0"))</f>
      </c>
      <c r="S7" s="5">
        <f>IF(OR(P7="",Q7="",Q7=0),"",P7/Q7)</f>
      </c>
      <c r="T7" s="3"/>
      <c r="U7" s="3"/>
      <c r="V7" s="0">
        <f>IF(OR(T7="",U7=""),"",TEXT(U7,"$#,##0")&amp;" of "&amp;TEXT(T7,"$#,##0"))</f>
      </c>
      <c r="W7" s="5">
        <f>IF(OR(T7="",U7="",U7=0),"",T7/U7)</f>
      </c>
      <c r="X7" s="3"/>
      <c r="Y7" s="3"/>
      <c r="Z7" s="0">
        <f>IF(OR(X7="",Y7=""),"",TEXT(Y7,"$#,##0")&amp;" of "&amp;TEXT(X7,"$#,##0"))</f>
      </c>
      <c r="AA7" s="5">
        <f>IF(OR(X7="",Y7="",Y7=0),"",X7/Y7)</f>
      </c>
      <c r="AB7" s="3"/>
      <c r="AC7" s="3"/>
      <c r="AD7" s="0">
        <f>IF(OR(AB7="",AC7=""),"",TEXT(AC7,"$#,##0")&amp;" of "&amp;TEXT(AB7,"$#,##0"))</f>
      </c>
      <c r="AE7" s="5">
        <f>IF(OR(AB7="",AC7="",AC7=0),"",AB7/AC7)</f>
      </c>
    </row>
    <row r="8" ht="48" customHeight="1">
      <c r="A8" s="0" t="inlineStr">
        <is>
          <t xml:space="preserve">Marketing campaigns</t>
        </is>
      </c>
      <c r="B8" s="0" t="inlineStr">
        <is>
          <t xml:space="preserve">Paid landing sessions</t>
        </is>
      </c>
      <c r="C8" s="6" t="inlineStr">
        <is>
          <t xml:space="preserve">Landing sessions whose UTM medium is paid (cpc or paid social).</t>
        </is>
      </c>
      <c r="D8" s="0" t="inlineStr">
        <is>
          <t xml:space="preserve">Count</t>
        </is>
      </c>
      <c r="E8" s="0" t="inlineStr">
        <is>
          <t xml:space="preserve">Higher</t>
        </is>
      </c>
      <c r="F8" s="0" t="inlineStr">
        <is>
          <t xml:space="preserve">Campaign geo</t>
        </is>
      </c>
      <c r="G8" s="6" t="inlineStr">
        <is>
          <t xml:space="preserve">HubSpot</t>
        </is>
      </c>
      <c r="H8" s="2"/>
      <c r="I8" s="2"/>
      <c r="J8" s="0">
        <f>IF(OR(H8="",I8=""),"",TEXT(I8,"#,##0")&amp;" of "&amp;TEXT(H8,"#,##0"))</f>
      </c>
      <c r="K8" s="5">
        <f>IF(OR(H8="",I8="",H8=0),"",I8/H8)</f>
      </c>
      <c r="L8" s="2"/>
      <c r="M8" s="2"/>
      <c r="N8" s="0">
        <f>IF(OR(L8="",M8=""),"",TEXT(M8,"#,##0")&amp;" of "&amp;TEXT(L8,"#,##0"))</f>
      </c>
      <c r="O8" s="5">
        <f>IF(OR(L8="",M8="",L8=0),"",M8/L8)</f>
      </c>
      <c r="P8" s="2"/>
      <c r="Q8" s="2"/>
      <c r="R8" s="0">
        <f>IF(OR(P8="",Q8=""),"",TEXT(Q8,"#,##0")&amp;" of "&amp;TEXT(P8,"#,##0"))</f>
      </c>
      <c r="S8" s="5">
        <f>IF(OR(P8="",Q8="",P8=0),"",Q8/P8)</f>
      </c>
      <c r="T8" s="2"/>
      <c r="U8" s="2"/>
      <c r="V8" s="0">
        <f>IF(OR(T8="",U8=""),"",TEXT(U8,"#,##0")&amp;" of "&amp;TEXT(T8,"#,##0"))</f>
      </c>
      <c r="W8" s="5">
        <f>IF(OR(T8="",U8="",T8=0),"",U8/T8)</f>
      </c>
      <c r="X8" s="2"/>
      <c r="Y8" s="2"/>
      <c r="Z8" s="0">
        <f>IF(OR(X8="",Y8=""),"",TEXT(Y8,"#,##0")&amp;" of "&amp;TEXT(X8,"#,##0"))</f>
      </c>
      <c r="AA8" s="5">
        <f>IF(OR(X8="",Y8="",X8=0),"",Y8/X8)</f>
      </c>
      <c r="AB8" s="2"/>
      <c r="AC8" s="2"/>
      <c r="AD8" s="0">
        <f>IF(OR(AB8="",AC8=""),"",TEXT(AC8,"#,##0")&amp;" of "&amp;TEXT(AB8,"#,##0"))</f>
      </c>
      <c r="AE8" s="5">
        <f>IF(OR(AB8="",AC8="",AB8=0),"",AC8/AB8)</f>
      </c>
    </row>
    <row r="9" ht="48" customHeight="1">
      <c r="A9" s="0" t="inlineStr">
        <is>
          <t xml:space="preserve">Marketing campaigns</t>
        </is>
      </c>
      <c r="B9" s="0" t="inlineStr">
        <is>
          <t xml:space="preserve">Paid sign-ups</t>
        </is>
      </c>
      <c r="C9" s="6" t="inlineStr">
        <is>
          <t xml:space="preserve">External platform sign-ups attributed to a paid campaign. Internal accounts are excluded.</t>
        </is>
      </c>
      <c r="D9" s="0" t="inlineStr">
        <is>
          <t xml:space="preserve">Count</t>
        </is>
      </c>
      <c r="E9" s="0" t="inlineStr">
        <is>
          <t xml:space="preserve">Higher</t>
        </is>
      </c>
      <c r="F9" s="0" t="inlineStr">
        <is>
          <t xml:space="preserve">Campaign geo</t>
        </is>
      </c>
      <c r="G9" s="6" t="inlineStr">
        <is>
          <t xml:space="preserve">PostHog</t>
        </is>
      </c>
      <c r="H9" s="2"/>
      <c r="I9" s="2"/>
      <c r="J9" s="0">
        <f>IF(OR(H9="",I9=""),"",TEXT(I9,"#,##0")&amp;" of "&amp;TEXT(H9,"#,##0"))</f>
      </c>
      <c r="K9" s="5">
        <f>IF(OR(H9="",I9="",H9=0),"",I9/H9)</f>
      </c>
      <c r="L9" s="2"/>
      <c r="M9" s="2"/>
      <c r="N9" s="0">
        <f>IF(OR(L9="",M9=""),"",TEXT(M9,"#,##0")&amp;" of "&amp;TEXT(L9,"#,##0"))</f>
      </c>
      <c r="O9" s="5">
        <f>IF(OR(L9="",M9="",L9=0),"",M9/L9)</f>
      </c>
      <c r="P9" s="2"/>
      <c r="Q9" s="2"/>
      <c r="R9" s="0">
        <f>IF(OR(P9="",Q9=""),"",TEXT(Q9,"#,##0")&amp;" of "&amp;TEXT(P9,"#,##0"))</f>
      </c>
      <c r="S9" s="5">
        <f>IF(OR(P9="",Q9="",P9=0),"",Q9/P9)</f>
      </c>
      <c r="T9" s="2"/>
      <c r="U9" s="2"/>
      <c r="V9" s="0">
        <f>IF(OR(T9="",U9=""),"",TEXT(U9,"#,##0")&amp;" of "&amp;TEXT(T9,"#,##0"))</f>
      </c>
      <c r="W9" s="5">
        <f>IF(OR(T9="",U9="",T9=0),"",U9/T9)</f>
      </c>
      <c r="X9" s="2"/>
      <c r="Y9" s="2"/>
      <c r="Z9" s="0">
        <f>IF(OR(X9="",Y9=""),"",TEXT(Y9,"#,##0")&amp;" of "&amp;TEXT(X9,"#,##0"))</f>
      </c>
      <c r="AA9" s="5">
        <f>IF(OR(X9="",Y9="",X9=0),"",Y9/X9)</f>
      </c>
      <c r="AB9" s="2"/>
      <c r="AC9" s="2"/>
      <c r="AD9" s="0">
        <f>IF(OR(AB9="",AC9=""),"",TEXT(AC9,"#,##0")&amp;" of "&amp;TEXT(AB9,"#,##0"))</f>
      </c>
      <c r="AE9" s="5">
        <f>IF(OR(AB9="",AC9="",AB9=0),"",AC9/AB9)</f>
      </c>
    </row>
    <row r="10" ht="48" customHeight="1">
      <c r="A10" s="0" t="inlineStr">
        <is>
          <t xml:space="preserve">Marketing campaigns</t>
        </is>
      </c>
      <c r="B10" s="0" t="inlineStr">
        <is>
          <t xml:space="preserve">Cost per sign-up</t>
        </is>
      </c>
      <c r="C10" s="6" t="inlineStr">
        <is>
          <t xml:space="preserve">Ad spend divided by paid sign-ups. Lower is better. A shorter range keeps this cost. It does not scale it.</t>
        </is>
      </c>
      <c r="D10" s="0" t="inlineStr">
        <is>
          <t xml:space="preserve">Currency</t>
        </is>
      </c>
      <c r="E10" s="0" t="inlineStr">
        <is>
          <t xml:space="preserve">Lower</t>
        </is>
      </c>
      <c r="F10" s="0" t="inlineStr">
        <is>
          <t xml:space="preserve">Campaign geo</t>
        </is>
      </c>
      <c r="G10" s="6" t="inlineStr">
        <is>
          <t xml:space="preserve">Meta, LinkedIn, Google Ads, PostHog</t>
        </is>
      </c>
      <c r="H10" s="3"/>
      <c r="I10" s="3"/>
      <c r="J10" s="0">
        <f>IF(OR(H10="",I10=""),"",TEXT(I10,"$#,##0")&amp;" of "&amp;TEXT(H10,"$#,##0"))</f>
      </c>
      <c r="K10" s="5">
        <f>IF(OR(H10="",I10="",I10=0),"",H10/I10)</f>
      </c>
      <c r="L10" s="3"/>
      <c r="M10" s="3"/>
      <c r="N10" s="0">
        <f>IF(OR(L10="",M10=""),"",TEXT(M10,"$#,##0")&amp;" of "&amp;TEXT(L10,"$#,##0"))</f>
      </c>
      <c r="O10" s="5">
        <f>IF(OR(L10="",M10="",M10=0),"",L10/M10)</f>
      </c>
      <c r="P10" s="3"/>
      <c r="Q10" s="3"/>
      <c r="R10" s="0">
        <f>IF(OR(P10="",Q10=""),"",TEXT(Q10,"$#,##0")&amp;" of "&amp;TEXT(P10,"$#,##0"))</f>
      </c>
      <c r="S10" s="5">
        <f>IF(OR(P10="",Q10="",Q10=0),"",P10/Q10)</f>
      </c>
      <c r="T10" s="3"/>
      <c r="U10" s="3"/>
      <c r="V10" s="0">
        <f>IF(OR(T10="",U10=""),"",TEXT(U10,"$#,##0")&amp;" of "&amp;TEXT(T10,"$#,##0"))</f>
      </c>
      <c r="W10" s="5">
        <f>IF(OR(T10="",U10="",U10=0),"",T10/U10)</f>
      </c>
      <c r="X10" s="3"/>
      <c r="Y10" s="3"/>
      <c r="Z10" s="0">
        <f>IF(OR(X10="",Y10=""),"",TEXT(Y10,"$#,##0")&amp;" of "&amp;TEXT(X10,"$#,##0"))</f>
      </c>
      <c r="AA10" s="5">
        <f>IF(OR(X10="",Y10="",Y10=0),"",X10/Y10)</f>
      </c>
      <c r="AB10" s="3"/>
      <c r="AC10" s="3"/>
      <c r="AD10" s="0">
        <f>IF(OR(AB10="",AC10=""),"",TEXT(AC10,"$#,##0")&amp;" of "&amp;TEXT(AB10,"$#,##0"))</f>
      </c>
      <c r="AE10" s="5">
        <f>IF(OR(AB10="",AC10="",AC10=0),"",AB10/AC10)</f>
      </c>
    </row>
    <row r="11" ht="48" customHeight="1">
      <c r="A11" s="0" t="inlineStr">
        <is>
          <t xml:space="preserve">Marketing campaigns</t>
        </is>
      </c>
      <c r="B11" s="0" t="inlineStr">
        <is>
          <t xml:space="preserve">LinkedIn post impressions</t>
        </is>
      </c>
      <c r="C11" s="6" t="inlineStr">
        <is>
          <t xml:space="preserve">Organic impressions on the Think4Ever Global page. This stays app-wide when a country is selected.</t>
        </is>
      </c>
      <c r="D11" s="0" t="inlineStr">
        <is>
          <t xml:space="preserve">Count</t>
        </is>
      </c>
      <c r="E11" s="0" t="inlineStr">
        <is>
          <t xml:space="preserve">Higher</t>
        </is>
      </c>
      <c r="F11" s="0" t="inlineStr">
        <is>
          <t xml:space="preserve">No</t>
        </is>
      </c>
      <c r="G11" s="6" t="inlineStr">
        <is>
          <t xml:space="preserve">LinkedIn</t>
        </is>
      </c>
      <c r="H11" s="2"/>
      <c r="I11" s="2"/>
      <c r="J11" s="0">
        <f>IF(OR(H11="",I11=""),"",TEXT(I11,"#,##0")&amp;" of "&amp;TEXT(H11,"#,##0"))</f>
      </c>
      <c r="K11" s="5">
        <f>IF(OR(H11="",I11="",H11=0),"",I11/H11)</f>
      </c>
      <c r="L11" s="2"/>
      <c r="M11" s="2"/>
      <c r="N11" s="0">
        <f>IF(OR(L11="",M11=""),"",TEXT(M11,"#,##0")&amp;" of "&amp;TEXT(L11,"#,##0"))</f>
      </c>
      <c r="O11" s="5">
        <f>IF(OR(L11="",M11="",L11=0),"",M11/L11)</f>
      </c>
      <c r="P11" s="2"/>
      <c r="Q11" s="2"/>
      <c r="R11" s="0">
        <f>IF(OR(P11="",Q11=""),"",TEXT(Q11,"#,##0")&amp;" of "&amp;TEXT(P11,"#,##0"))</f>
      </c>
      <c r="S11" s="5">
        <f>IF(OR(P11="",Q11="",P11=0),"",Q11/P11)</f>
      </c>
      <c r="T11" s="2"/>
      <c r="U11" s="2"/>
      <c r="V11" s="0">
        <f>IF(OR(T11="",U11=""),"",TEXT(U11,"#,##0")&amp;" of "&amp;TEXT(T11,"#,##0"))</f>
      </c>
      <c r="W11" s="5">
        <f>IF(OR(T11="",U11="",T11=0),"",U11/T11)</f>
      </c>
      <c r="X11" s="2"/>
      <c r="Y11" s="2"/>
      <c r="Z11" s="0">
        <f>IF(OR(X11="",Y11=""),"",TEXT(Y11,"#,##0")&amp;" of "&amp;TEXT(X11,"#,##0"))</f>
      </c>
      <c r="AA11" s="5">
        <f>IF(OR(X11="",Y11="",X11=0),"",Y11/X11)</f>
      </c>
      <c r="AB11" s="2"/>
      <c r="AC11" s="2"/>
      <c r="AD11" s="0">
        <f>IF(OR(AB11="",AC11=""),"",TEXT(AC11,"#,##0")&amp;" of "&amp;TEXT(AB11,"#,##0"))</f>
      </c>
      <c r="AE11" s="5">
        <f>IF(OR(AB11="",AC11="",AB11=0),"",AC11/AB11)</f>
      </c>
    </row>
    <row r="12" ht="48" customHeight="1">
      <c r="A12" s="0" t="inlineStr">
        <is>
          <t xml:space="preserve">Marketing campaigns</t>
        </is>
      </c>
      <c r="B12" s="0" t="inlineStr">
        <is>
          <t xml:space="preserve">LinkedIn engagement rate</t>
        </is>
      </c>
      <c r="C12" s="6" t="inlineStr">
        <is>
          <t xml:space="preserve">Organic engagements divided by organic impressions on the Think4Ever Global page. Stays app-wide when a country is selected.</t>
        </is>
      </c>
      <c r="D12" s="0" t="inlineStr">
        <is>
          <t xml:space="preserve">Rate</t>
        </is>
      </c>
      <c r="E12" s="0" t="inlineStr">
        <is>
          <t xml:space="preserve">Higher</t>
        </is>
      </c>
      <c r="F12" s="0" t="inlineStr">
        <is>
          <t xml:space="preserve">No</t>
        </is>
      </c>
      <c r="G12" s="6" t="inlineStr">
        <is>
          <t xml:space="preserve">LinkedIn</t>
        </is>
      </c>
      <c r="H12" s="4"/>
      <c r="I12" s="4"/>
      <c r="J12" s="0">
        <f>IF(OR(H12="",I12=""),"",TEXT(I12,"0.0%")&amp;" of "&amp;TEXT(H12,"0.0%"))</f>
      </c>
      <c r="K12" s="5">
        <f>IF(OR(H12="",I12="",H12=0),"",I12/H12)</f>
      </c>
      <c r="L12" s="4"/>
      <c r="M12" s="4"/>
      <c r="N12" s="0">
        <f>IF(OR(L12="",M12=""),"",TEXT(M12,"0.0%")&amp;" of "&amp;TEXT(L12,"0.0%"))</f>
      </c>
      <c r="O12" s="5">
        <f>IF(OR(L12="",M12="",L12=0),"",M12/L12)</f>
      </c>
      <c r="P12" s="4"/>
      <c r="Q12" s="4"/>
      <c r="R12" s="0">
        <f>IF(OR(P12="",Q12=""),"",TEXT(Q12,"0.0%")&amp;" of "&amp;TEXT(P12,"0.0%"))</f>
      </c>
      <c r="S12" s="5">
        <f>IF(OR(P12="",Q12="",P12=0),"",Q12/P12)</f>
      </c>
      <c r="T12" s="4"/>
      <c r="U12" s="4"/>
      <c r="V12" s="0">
        <f>IF(OR(T12="",U12=""),"",TEXT(U12,"0.0%")&amp;" of "&amp;TEXT(T12,"0.0%"))</f>
      </c>
      <c r="W12" s="5">
        <f>IF(OR(T12="",U12="",T12=0),"",U12/T12)</f>
      </c>
      <c r="X12" s="4"/>
      <c r="Y12" s="4"/>
      <c r="Z12" s="0">
        <f>IF(OR(X12="",Y12=""),"",TEXT(Y12,"0.0%")&amp;" of "&amp;TEXT(X12,"0.0%"))</f>
      </c>
      <c r="AA12" s="5">
        <f>IF(OR(X12="",Y12="",X12=0),"",Y12/X12)</f>
      </c>
      <c r="AB12" s="4"/>
      <c r="AC12" s="4"/>
      <c r="AD12" s="0">
        <f>IF(OR(AB12="",AC12=""),"",TEXT(AC12,"0.0%")&amp;" of "&amp;TEXT(AB12,"0.0%"))</f>
      </c>
      <c r="AE12" s="5">
        <f>IF(OR(AB12="",AC12="",AB12=0),"",AC12/AB12)</f>
      </c>
    </row>
    <row r="13" ht="48" customHeight="1">
      <c r="A13" s="0" t="inlineStr">
        <is>
          <t xml:space="preserve">Marketing campaigns</t>
        </is>
      </c>
      <c r="B13" s="0" t="inlineStr">
        <is>
          <t xml:space="preserve">New LinkedIn followers</t>
        </is>
      </c>
      <c r="C13" s="6" t="inlineStr">
        <is>
          <t xml:space="preserve">Net new followers of the Think4Ever Global page in the month. Stays app-wide when a country is selected.</t>
        </is>
      </c>
      <c r="D13" s="0" t="inlineStr">
        <is>
          <t xml:space="preserve">Count</t>
        </is>
      </c>
      <c r="E13" s="0" t="inlineStr">
        <is>
          <t xml:space="preserve">Higher</t>
        </is>
      </c>
      <c r="F13" s="0" t="inlineStr">
        <is>
          <t xml:space="preserve">No</t>
        </is>
      </c>
      <c r="G13" s="6" t="inlineStr">
        <is>
          <t xml:space="preserve">LinkedIn</t>
        </is>
      </c>
      <c r="H13" s="2"/>
      <c r="I13" s="2"/>
      <c r="J13" s="0">
        <f>IF(OR(H13="",I13=""),"",TEXT(I13,"#,##0")&amp;" of "&amp;TEXT(H13,"#,##0"))</f>
      </c>
      <c r="K13" s="5">
        <f>IF(OR(H13="",I13="",H13=0),"",I13/H13)</f>
      </c>
      <c r="L13" s="2"/>
      <c r="M13" s="2"/>
      <c r="N13" s="0">
        <f>IF(OR(L13="",M13=""),"",TEXT(M13,"#,##0")&amp;" of "&amp;TEXT(L13,"#,##0"))</f>
      </c>
      <c r="O13" s="5">
        <f>IF(OR(L13="",M13="",L13=0),"",M13/L13)</f>
      </c>
      <c r="P13" s="2"/>
      <c r="Q13" s="2"/>
      <c r="R13" s="0">
        <f>IF(OR(P13="",Q13=""),"",TEXT(Q13,"#,##0")&amp;" of "&amp;TEXT(P13,"#,##0"))</f>
      </c>
      <c r="S13" s="5">
        <f>IF(OR(P13="",Q13="",P13=0),"",Q13/P13)</f>
      </c>
      <c r="T13" s="2"/>
      <c r="U13" s="2"/>
      <c r="V13" s="0">
        <f>IF(OR(T13="",U13=""),"",TEXT(U13,"#,##0")&amp;" of "&amp;TEXT(T13,"#,##0"))</f>
      </c>
      <c r="W13" s="5">
        <f>IF(OR(T13="",U13="",T13=0),"",U13/T13)</f>
      </c>
      <c r="X13" s="2"/>
      <c r="Y13" s="2"/>
      <c r="Z13" s="0">
        <f>IF(OR(X13="",Y13=""),"",TEXT(Y13,"#,##0")&amp;" of "&amp;TEXT(X13,"#,##0"))</f>
      </c>
      <c r="AA13" s="5">
        <f>IF(OR(X13="",Y13="",X13=0),"",Y13/X13)</f>
      </c>
      <c r="AB13" s="2"/>
      <c r="AC13" s="2"/>
      <c r="AD13" s="0">
        <f>IF(OR(AB13="",AC13=""),"",TEXT(AC13,"#,##0")&amp;" of "&amp;TEXT(AB13,"#,##0"))</f>
      </c>
      <c r="AE13" s="5">
        <f>IF(OR(AB13="",AC13="",AB13=0),"",AC13/AB13)</f>
      </c>
    </row>
    <row r="14" ht="48" customHeight="1">
      <c r="A14" s="0" t="inlineStr">
        <is>
          <t xml:space="preserve">Marketing campaigns</t>
        </is>
      </c>
      <c r="B14" s="0" t="inlineStr">
        <is>
          <t xml:space="preserve">Campaigns with spend</t>
        </is>
      </c>
      <c r="C14" s="6" t="inlineStr">
        <is>
          <t xml:space="preserve">Count of campaigns that spent money in the month.</t>
        </is>
      </c>
      <c r="D14" s="0" t="inlineStr">
        <is>
          <t xml:space="preserve">Count</t>
        </is>
      </c>
      <c r="E14" s="0" t="inlineStr">
        <is>
          <t xml:space="preserve">Higher</t>
        </is>
      </c>
      <c r="F14" s="0" t="inlineStr">
        <is>
          <t xml:space="preserve">Campaign geo</t>
        </is>
      </c>
      <c r="G14" s="6" t="inlineStr">
        <is>
          <t xml:space="preserve">Meta, LinkedIn, Google Ads</t>
        </is>
      </c>
      <c r="H14" s="2"/>
      <c r="I14" s="2"/>
      <c r="J14" s="0">
        <f>IF(OR(H14="",I14=""),"",TEXT(I14,"#,##0")&amp;" of "&amp;TEXT(H14,"#,##0"))</f>
      </c>
      <c r="K14" s="5">
        <f>IF(OR(H14="",I14="",H14=0),"",I14/H14)</f>
      </c>
      <c r="L14" s="2"/>
      <c r="M14" s="2"/>
      <c r="N14" s="0">
        <f>IF(OR(L14="",M14=""),"",TEXT(M14,"#,##0")&amp;" of "&amp;TEXT(L14,"#,##0"))</f>
      </c>
      <c r="O14" s="5">
        <f>IF(OR(L14="",M14="",L14=0),"",M14/L14)</f>
      </c>
      <c r="P14" s="2"/>
      <c r="Q14" s="2"/>
      <c r="R14" s="0">
        <f>IF(OR(P14="",Q14=""),"",TEXT(Q14,"#,##0")&amp;" of "&amp;TEXT(P14,"#,##0"))</f>
      </c>
      <c r="S14" s="5">
        <f>IF(OR(P14="",Q14="",P14=0),"",Q14/P14)</f>
      </c>
      <c r="T14" s="2"/>
      <c r="U14" s="2"/>
      <c r="V14" s="0">
        <f>IF(OR(T14="",U14=""),"",TEXT(U14,"#,##0")&amp;" of "&amp;TEXT(T14,"#,##0"))</f>
      </c>
      <c r="W14" s="5">
        <f>IF(OR(T14="",U14="",T14=0),"",U14/T14)</f>
      </c>
      <c r="X14" s="2"/>
      <c r="Y14" s="2"/>
      <c r="Z14" s="0">
        <f>IF(OR(X14="",Y14=""),"",TEXT(Y14,"#,##0")&amp;" of "&amp;TEXT(X14,"#,##0"))</f>
      </c>
      <c r="AA14" s="5">
        <f>IF(OR(X14="",Y14="",X14=0),"",Y14/X14)</f>
      </c>
      <c r="AB14" s="2"/>
      <c r="AC14" s="2"/>
      <c r="AD14" s="0">
        <f>IF(OR(AB14="",AC14=""),"",TEXT(AC14,"#,##0")&amp;" of "&amp;TEXT(AB14,"#,##0"))</f>
      </c>
      <c r="AE14" s="5">
        <f>IF(OR(AB14="",AC14="",AB14=0),"",AC14/AB14)</f>
      </c>
    </row>
    <row r="15" ht="48" customHeight="1">
      <c r="A15" s="0" t="inlineStr">
        <is>
          <t xml:space="preserve">Growth</t>
        </is>
      </c>
      <c r="B15" s="0" t="inlineStr">
        <is>
          <t xml:space="preserve">Landing sessions</t>
        </is>
      </c>
      <c r="C15" s="6" t="inlineStr">
        <is>
          <t xml:space="preserve">Visits to the HubSpot-tracked landing pages.</t>
        </is>
      </c>
      <c r="D15" s="0" t="inlineStr">
        <is>
          <t xml:space="preserve">Count</t>
        </is>
      </c>
      <c r="E15" s="0" t="inlineStr">
        <is>
          <t xml:space="preserve">Higher</t>
        </is>
      </c>
      <c r="F15" s="0" t="inlineStr">
        <is>
          <t xml:space="preserve">Yes</t>
        </is>
      </c>
      <c r="G15" s="6" t="inlineStr">
        <is>
          <t xml:space="preserve">HubSpot</t>
        </is>
      </c>
      <c r="H15" s="2"/>
      <c r="I15" s="2"/>
      <c r="J15" s="0">
        <f>IF(OR(H15="",I15=""),"",TEXT(I15,"#,##0")&amp;" of "&amp;TEXT(H15,"#,##0"))</f>
      </c>
      <c r="K15" s="5">
        <f>IF(OR(H15="",I15="",H15=0),"",I15/H15)</f>
      </c>
      <c r="L15" s="2"/>
      <c r="M15" s="2"/>
      <c r="N15" s="0">
        <f>IF(OR(L15="",M15=""),"",TEXT(M15,"#,##0")&amp;" of "&amp;TEXT(L15,"#,##0"))</f>
      </c>
      <c r="O15" s="5">
        <f>IF(OR(L15="",M15="",L15=0),"",M15/L15)</f>
      </c>
      <c r="P15" s="2"/>
      <c r="Q15" s="2"/>
      <c r="R15" s="0">
        <f>IF(OR(P15="",Q15=""),"",TEXT(Q15,"#,##0")&amp;" of "&amp;TEXT(P15,"#,##0"))</f>
      </c>
      <c r="S15" s="5">
        <f>IF(OR(P15="",Q15="",P15=0),"",Q15/P15)</f>
      </c>
      <c r="T15" s="2"/>
      <c r="U15" s="2"/>
      <c r="V15" s="0">
        <f>IF(OR(T15="",U15=""),"",TEXT(U15,"#,##0")&amp;" of "&amp;TEXT(T15,"#,##0"))</f>
      </c>
      <c r="W15" s="5">
        <f>IF(OR(T15="",U15="",T15=0),"",U15/T15)</f>
      </c>
      <c r="X15" s="2"/>
      <c r="Y15" s="2"/>
      <c r="Z15" s="0">
        <f>IF(OR(X15="",Y15=""),"",TEXT(Y15,"#,##0")&amp;" of "&amp;TEXT(X15,"#,##0"))</f>
      </c>
      <c r="AA15" s="5">
        <f>IF(OR(X15="",Y15="",X15=0),"",Y15/X15)</f>
      </c>
      <c r="AB15" s="2"/>
      <c r="AC15" s="2"/>
      <c r="AD15" s="0">
        <f>IF(OR(AB15="",AC15=""),"",TEXT(AC15,"#,##0")&amp;" of "&amp;TEXT(AB15,"#,##0"))</f>
      </c>
      <c r="AE15" s="5">
        <f>IF(OR(AB15="",AC15="",AB15=0),"",AC15/AB15)</f>
      </c>
    </row>
    <row r="16" ht="48" customHeight="1">
      <c r="A16" s="0" t="inlineStr">
        <is>
          <t xml:space="preserve">Growth</t>
        </is>
      </c>
      <c r="B16" s="0" t="inlineStr">
        <is>
          <t xml:space="preserve">Visitors</t>
        </is>
      </c>
      <c r="C16" s="6" t="inlineStr">
        <is>
          <t xml:space="preserve">Users on the landing in Google Analytics.</t>
        </is>
      </c>
      <c r="D16" s="0" t="inlineStr">
        <is>
          <t xml:space="preserve">Count</t>
        </is>
      </c>
      <c r="E16" s="0" t="inlineStr">
        <is>
          <t xml:space="preserve">Higher</t>
        </is>
      </c>
      <c r="F16" s="0" t="inlineStr">
        <is>
          <t xml:space="preserve">Yes</t>
        </is>
      </c>
      <c r="G16" s="6" t="inlineStr">
        <is>
          <t xml:space="preserve">Google Analytics 4</t>
        </is>
      </c>
      <c r="H16" s="2"/>
      <c r="I16" s="2"/>
      <c r="J16" s="0">
        <f>IF(OR(H16="",I16=""),"",TEXT(I16,"#,##0")&amp;" of "&amp;TEXT(H16,"#,##0"))</f>
      </c>
      <c r="K16" s="5">
        <f>IF(OR(H16="",I16="",H16=0),"",I16/H16)</f>
      </c>
      <c r="L16" s="2"/>
      <c r="M16" s="2"/>
      <c r="N16" s="0">
        <f>IF(OR(L16="",M16=""),"",TEXT(M16,"#,##0")&amp;" of "&amp;TEXT(L16,"#,##0"))</f>
      </c>
      <c r="O16" s="5">
        <f>IF(OR(L16="",M16="",L16=0),"",M16/L16)</f>
      </c>
      <c r="P16" s="2"/>
      <c r="Q16" s="2"/>
      <c r="R16" s="0">
        <f>IF(OR(P16="",Q16=""),"",TEXT(Q16,"#,##0")&amp;" of "&amp;TEXT(P16,"#,##0"))</f>
      </c>
      <c r="S16" s="5">
        <f>IF(OR(P16="",Q16="",P16=0),"",Q16/P16)</f>
      </c>
      <c r="T16" s="2"/>
      <c r="U16" s="2"/>
      <c r="V16" s="0">
        <f>IF(OR(T16="",U16=""),"",TEXT(U16,"#,##0")&amp;" of "&amp;TEXT(T16,"#,##0"))</f>
      </c>
      <c r="W16" s="5">
        <f>IF(OR(T16="",U16="",T16=0),"",U16/T16)</f>
      </c>
      <c r="X16" s="2"/>
      <c r="Y16" s="2"/>
      <c r="Z16" s="0">
        <f>IF(OR(X16="",Y16=""),"",TEXT(Y16,"#,##0")&amp;" of "&amp;TEXT(X16,"#,##0"))</f>
      </c>
      <c r="AA16" s="5">
        <f>IF(OR(X16="",Y16="",X16=0),"",Y16/X16)</f>
      </c>
      <c r="AB16" s="2"/>
      <c r="AC16" s="2"/>
      <c r="AD16" s="0">
        <f>IF(OR(AB16="",AC16=""),"",TEXT(AC16,"#,##0")&amp;" of "&amp;TEXT(AB16,"#,##0"))</f>
      </c>
      <c r="AE16" s="5">
        <f>IF(OR(AB16="",AC16="",AB16=0),"",AC16/AB16)</f>
      </c>
    </row>
    <row r="17" ht="48" customHeight="1">
      <c r="A17" s="0" t="inlineStr">
        <is>
          <t xml:space="preserve">Growth</t>
        </is>
      </c>
      <c r="B17" s="0" t="inlineStr">
        <is>
          <t xml:space="preserve">Engaged sessions</t>
        </is>
      </c>
      <c r="C17" s="6" t="inlineStr">
        <is>
          <t xml:space="preserve">Sessions that lasted more than 10 seconds, viewed 2 or more pages, or fired a key event.</t>
        </is>
      </c>
      <c r="D17" s="0" t="inlineStr">
        <is>
          <t xml:space="preserve">Count</t>
        </is>
      </c>
      <c r="E17" s="0" t="inlineStr">
        <is>
          <t xml:space="preserve">Higher</t>
        </is>
      </c>
      <c r="F17" s="0" t="inlineStr">
        <is>
          <t xml:space="preserve">Yes</t>
        </is>
      </c>
      <c r="G17" s="6" t="inlineStr">
        <is>
          <t xml:space="preserve">Google Analytics 4</t>
        </is>
      </c>
      <c r="H17" s="2"/>
      <c r="I17" s="2"/>
      <c r="J17" s="0">
        <f>IF(OR(H17="",I17=""),"",TEXT(I17,"#,##0")&amp;" of "&amp;TEXT(H17,"#,##0"))</f>
      </c>
      <c r="K17" s="5">
        <f>IF(OR(H17="",I17="",H17=0),"",I17/H17)</f>
      </c>
      <c r="L17" s="2"/>
      <c r="M17" s="2"/>
      <c r="N17" s="0">
        <f>IF(OR(L17="",M17=""),"",TEXT(M17,"#,##0")&amp;" of "&amp;TEXT(L17,"#,##0"))</f>
      </c>
      <c r="O17" s="5">
        <f>IF(OR(L17="",M17="",L17=0),"",M17/L17)</f>
      </c>
      <c r="P17" s="2"/>
      <c r="Q17" s="2"/>
      <c r="R17" s="0">
        <f>IF(OR(P17="",Q17=""),"",TEXT(Q17,"#,##0")&amp;" of "&amp;TEXT(P17,"#,##0"))</f>
      </c>
      <c r="S17" s="5">
        <f>IF(OR(P17="",Q17="",P17=0),"",Q17/P17)</f>
      </c>
      <c r="T17" s="2"/>
      <c r="U17" s="2"/>
      <c r="V17" s="0">
        <f>IF(OR(T17="",U17=""),"",TEXT(U17,"#,##0")&amp;" of "&amp;TEXT(T17,"#,##0"))</f>
      </c>
      <c r="W17" s="5">
        <f>IF(OR(T17="",U17="",T17=0),"",U17/T17)</f>
      </c>
      <c r="X17" s="2"/>
      <c r="Y17" s="2"/>
      <c r="Z17" s="0">
        <f>IF(OR(X17="",Y17=""),"",TEXT(Y17,"#,##0")&amp;" of "&amp;TEXT(X17,"#,##0"))</f>
      </c>
      <c r="AA17" s="5">
        <f>IF(OR(X17="",Y17="",X17=0),"",Y17/X17)</f>
      </c>
      <c r="AB17" s="2"/>
      <c r="AC17" s="2"/>
      <c r="AD17" s="0">
        <f>IF(OR(AB17="",AC17=""),"",TEXT(AC17,"#,##0")&amp;" of "&amp;TEXT(AB17,"#,##0"))</f>
      </c>
      <c r="AE17" s="5">
        <f>IF(OR(AB17="",AC17="",AB17=0),"",AC17/AB17)</f>
      </c>
    </row>
    <row r="18" ht="48" customHeight="1">
      <c r="A18" s="0" t="inlineStr">
        <is>
          <t xml:space="preserve">Growth</t>
        </is>
      </c>
      <c r="B18" s="0" t="inlineStr">
        <is>
          <t xml:space="preserve">Engagement rate</t>
        </is>
      </c>
      <c r="C18" s="6" t="inlineStr">
        <is>
          <t xml:space="preserve">Engaged sessions divided by sessions.</t>
        </is>
      </c>
      <c r="D18" s="0" t="inlineStr">
        <is>
          <t xml:space="preserve">Rate</t>
        </is>
      </c>
      <c r="E18" s="0" t="inlineStr">
        <is>
          <t xml:space="preserve">Higher</t>
        </is>
      </c>
      <c r="F18" s="0" t="inlineStr">
        <is>
          <t xml:space="preserve">Yes</t>
        </is>
      </c>
      <c r="G18" s="6" t="inlineStr">
        <is>
          <t xml:space="preserve">Google Analytics 4</t>
        </is>
      </c>
      <c r="H18" s="4"/>
      <c r="I18" s="4"/>
      <c r="J18" s="0">
        <f>IF(OR(H18="",I18=""),"",TEXT(I18,"0.0%")&amp;" of "&amp;TEXT(H18,"0.0%"))</f>
      </c>
      <c r="K18" s="5">
        <f>IF(OR(H18="",I18="",H18=0),"",I18/H18)</f>
      </c>
      <c r="L18" s="4"/>
      <c r="M18" s="4"/>
      <c r="N18" s="0">
        <f>IF(OR(L18="",M18=""),"",TEXT(M18,"0.0%")&amp;" of "&amp;TEXT(L18,"0.0%"))</f>
      </c>
      <c r="O18" s="5">
        <f>IF(OR(L18="",M18="",L18=0),"",M18/L18)</f>
      </c>
      <c r="P18" s="4"/>
      <c r="Q18" s="4"/>
      <c r="R18" s="0">
        <f>IF(OR(P18="",Q18=""),"",TEXT(Q18,"0.0%")&amp;" of "&amp;TEXT(P18,"0.0%"))</f>
      </c>
      <c r="S18" s="5">
        <f>IF(OR(P18="",Q18="",P18=0),"",Q18/P18)</f>
      </c>
      <c r="T18" s="4"/>
      <c r="U18" s="4"/>
      <c r="V18" s="0">
        <f>IF(OR(T18="",U18=""),"",TEXT(U18,"0.0%")&amp;" of "&amp;TEXT(T18,"0.0%"))</f>
      </c>
      <c r="W18" s="5">
        <f>IF(OR(T18="",U18="",T18=0),"",U18/T18)</f>
      </c>
      <c r="X18" s="4"/>
      <c r="Y18" s="4"/>
      <c r="Z18" s="0">
        <f>IF(OR(X18="",Y18=""),"",TEXT(Y18,"0.0%")&amp;" of "&amp;TEXT(X18,"0.0%"))</f>
      </c>
      <c r="AA18" s="5">
        <f>IF(OR(X18="",Y18="",X18=0),"",Y18/X18)</f>
      </c>
      <c r="AB18" s="4"/>
      <c r="AC18" s="4"/>
      <c r="AD18" s="0">
        <f>IF(OR(AB18="",AC18=""),"",TEXT(AC18,"0.0%")&amp;" of "&amp;TEXT(AB18,"0.0%"))</f>
      </c>
      <c r="AE18" s="5">
        <f>IF(OR(AB18="",AC18="",AB18=0),"",AC18/AB18)</f>
      </c>
    </row>
    <row r="19" ht="48" customHeight="1">
      <c r="A19" s="0" t="inlineStr">
        <is>
          <t xml:space="preserve">Growth</t>
        </is>
      </c>
      <c r="B19" s="0" t="inlineStr">
        <is>
          <t xml:space="preserve">Sign-up form starts</t>
        </is>
      </c>
      <c r="C19" s="6" t="inlineStr">
        <is>
          <t xml:space="preserve">People who started the landing sign-up form.</t>
        </is>
      </c>
      <c r="D19" s="0" t="inlineStr">
        <is>
          <t xml:space="preserve">Count</t>
        </is>
      </c>
      <c r="E19" s="0" t="inlineStr">
        <is>
          <t xml:space="preserve">Higher</t>
        </is>
      </c>
      <c r="F19" s="0" t="inlineStr">
        <is>
          <t xml:space="preserve">Yes</t>
        </is>
      </c>
      <c r="G19" s="6" t="inlineStr">
        <is>
          <t xml:space="preserve">Google Analytics 4</t>
        </is>
      </c>
      <c r="H19" s="2"/>
      <c r="I19" s="2"/>
      <c r="J19" s="0">
        <f>IF(OR(H19="",I19=""),"",TEXT(I19,"#,##0")&amp;" of "&amp;TEXT(H19,"#,##0"))</f>
      </c>
      <c r="K19" s="5">
        <f>IF(OR(H19="",I19="",H19=0),"",I19/H19)</f>
      </c>
      <c r="L19" s="2"/>
      <c r="M19" s="2"/>
      <c r="N19" s="0">
        <f>IF(OR(L19="",M19=""),"",TEXT(M19,"#,##0")&amp;" of "&amp;TEXT(L19,"#,##0"))</f>
      </c>
      <c r="O19" s="5">
        <f>IF(OR(L19="",M19="",L19=0),"",M19/L19)</f>
      </c>
      <c r="P19" s="2"/>
      <c r="Q19" s="2"/>
      <c r="R19" s="0">
        <f>IF(OR(P19="",Q19=""),"",TEXT(Q19,"#,##0")&amp;" of "&amp;TEXT(P19,"#,##0"))</f>
      </c>
      <c r="S19" s="5">
        <f>IF(OR(P19="",Q19="",P19=0),"",Q19/P19)</f>
      </c>
      <c r="T19" s="2"/>
      <c r="U19" s="2"/>
      <c r="V19" s="0">
        <f>IF(OR(T19="",U19=""),"",TEXT(U19,"#,##0")&amp;" of "&amp;TEXT(T19,"#,##0"))</f>
      </c>
      <c r="W19" s="5">
        <f>IF(OR(T19="",U19="",T19=0),"",U19/T19)</f>
      </c>
      <c r="X19" s="2"/>
      <c r="Y19" s="2"/>
      <c r="Z19" s="0">
        <f>IF(OR(X19="",Y19=""),"",TEXT(Y19,"#,##0")&amp;" of "&amp;TEXT(X19,"#,##0"))</f>
      </c>
      <c r="AA19" s="5">
        <f>IF(OR(X19="",Y19="",X19=0),"",Y19/X19)</f>
      </c>
      <c r="AB19" s="2"/>
      <c r="AC19" s="2"/>
      <c r="AD19" s="0">
        <f>IF(OR(AB19="",AC19=""),"",TEXT(AC19,"#,##0")&amp;" of "&amp;TEXT(AB19,"#,##0"))</f>
      </c>
      <c r="AE19" s="5">
        <f>IF(OR(AB19="",AC19="",AB19=0),"",AC19/AB19)</f>
      </c>
    </row>
    <row r="20" ht="48" customHeight="1">
      <c r="A20" s="0" t="inlineStr">
        <is>
          <t xml:space="preserve">Growth</t>
        </is>
      </c>
      <c r="B20" s="0" t="inlineStr">
        <is>
          <t xml:space="preserve">Form completed</t>
        </is>
      </c>
      <c r="C20" s="6" t="inlineStr">
        <is>
          <t xml:space="preserve">People who completed the landing sign-up form (the sign_up event).</t>
        </is>
      </c>
      <c r="D20" s="0" t="inlineStr">
        <is>
          <t xml:space="preserve">Count</t>
        </is>
      </c>
      <c r="E20" s="0" t="inlineStr">
        <is>
          <t xml:space="preserve">Higher</t>
        </is>
      </c>
      <c r="F20" s="0" t="inlineStr">
        <is>
          <t xml:space="preserve">Yes</t>
        </is>
      </c>
      <c r="G20" s="6" t="inlineStr">
        <is>
          <t xml:space="preserve">Google Analytics 4</t>
        </is>
      </c>
      <c r="H20" s="2"/>
      <c r="I20" s="2"/>
      <c r="J20" s="0">
        <f>IF(OR(H20="",I20=""),"",TEXT(I20,"#,##0")&amp;" of "&amp;TEXT(H20,"#,##0"))</f>
      </c>
      <c r="K20" s="5">
        <f>IF(OR(H20="",I20="",H20=0),"",I20/H20)</f>
      </c>
      <c r="L20" s="2"/>
      <c r="M20" s="2"/>
      <c r="N20" s="0">
        <f>IF(OR(L20="",M20=""),"",TEXT(M20,"#,##0")&amp;" of "&amp;TEXT(L20,"#,##0"))</f>
      </c>
      <c r="O20" s="5">
        <f>IF(OR(L20="",M20="",L20=0),"",M20/L20)</f>
      </c>
      <c r="P20" s="2"/>
      <c r="Q20" s="2"/>
      <c r="R20" s="0">
        <f>IF(OR(P20="",Q20=""),"",TEXT(Q20,"#,##0")&amp;" of "&amp;TEXT(P20,"#,##0"))</f>
      </c>
      <c r="S20" s="5">
        <f>IF(OR(P20="",Q20="",P20=0),"",Q20/P20)</f>
      </c>
      <c r="T20" s="2"/>
      <c r="U20" s="2"/>
      <c r="V20" s="0">
        <f>IF(OR(T20="",U20=""),"",TEXT(U20,"#,##0")&amp;" of "&amp;TEXT(T20,"#,##0"))</f>
      </c>
      <c r="W20" s="5">
        <f>IF(OR(T20="",U20="",T20=0),"",U20/T20)</f>
      </c>
      <c r="X20" s="2"/>
      <c r="Y20" s="2"/>
      <c r="Z20" s="0">
        <f>IF(OR(X20="",Y20=""),"",TEXT(Y20,"#,##0")&amp;" of "&amp;TEXT(X20,"#,##0"))</f>
      </c>
      <c r="AA20" s="5">
        <f>IF(OR(X20="",Y20="",X20=0),"",Y20/X20)</f>
      </c>
      <c r="AB20" s="2"/>
      <c r="AC20" s="2"/>
      <c r="AD20" s="0">
        <f>IF(OR(AB20="",AC20=""),"",TEXT(AC20,"#,##0")&amp;" of "&amp;TEXT(AB20,"#,##0"))</f>
      </c>
      <c r="AE20" s="5">
        <f>IF(OR(AB20="",AC20="",AB20=0),"",AC20/AB20)</f>
      </c>
    </row>
    <row r="21" ht="48" customHeight="1">
      <c r="A21" s="0" t="inlineStr">
        <is>
          <t xml:space="preserve">Growth</t>
        </is>
      </c>
      <c r="B21" s="0" t="inlineStr">
        <is>
          <t xml:space="preserve">Form completion</t>
        </is>
      </c>
      <c r="C21" s="6" t="inlineStr">
        <is>
          <t xml:space="preserve">Form completed divided by form started. The share of people who finish the sign-up form.</t>
        </is>
      </c>
      <c r="D21" s="0" t="inlineStr">
        <is>
          <t xml:space="preserve">Rate</t>
        </is>
      </c>
      <c r="E21" s="0" t="inlineStr">
        <is>
          <t xml:space="preserve">Higher</t>
        </is>
      </c>
      <c r="F21" s="0" t="inlineStr">
        <is>
          <t xml:space="preserve">Yes</t>
        </is>
      </c>
      <c r="G21" s="6" t="inlineStr">
        <is>
          <t xml:space="preserve">Google Analytics 4</t>
        </is>
      </c>
      <c r="H21" s="4"/>
      <c r="I21" s="4"/>
      <c r="J21" s="0">
        <f>IF(OR(H21="",I21=""),"",TEXT(I21,"0.0%")&amp;" of "&amp;TEXT(H21,"0.0%"))</f>
      </c>
      <c r="K21" s="5">
        <f>IF(OR(H21="",I21="",H21=0),"",I21/H21)</f>
      </c>
      <c r="L21" s="4"/>
      <c r="M21" s="4"/>
      <c r="N21" s="0">
        <f>IF(OR(L21="",M21=""),"",TEXT(M21,"0.0%")&amp;" of "&amp;TEXT(L21,"0.0%"))</f>
      </c>
      <c r="O21" s="5">
        <f>IF(OR(L21="",M21="",L21=0),"",M21/L21)</f>
      </c>
      <c r="P21" s="4"/>
      <c r="Q21" s="4"/>
      <c r="R21" s="0">
        <f>IF(OR(P21="",Q21=""),"",TEXT(Q21,"0.0%")&amp;" of "&amp;TEXT(P21,"0.0%"))</f>
      </c>
      <c r="S21" s="5">
        <f>IF(OR(P21="",Q21="",P21=0),"",Q21/P21)</f>
      </c>
      <c r="T21" s="4"/>
      <c r="U21" s="4"/>
      <c r="V21" s="0">
        <f>IF(OR(T21="",U21=""),"",TEXT(U21,"0.0%")&amp;" of "&amp;TEXT(T21,"0.0%"))</f>
      </c>
      <c r="W21" s="5">
        <f>IF(OR(T21="",U21="",T21=0),"",U21/T21)</f>
      </c>
      <c r="X21" s="4"/>
      <c r="Y21" s="4"/>
      <c r="Z21" s="0">
        <f>IF(OR(X21="",Y21=""),"",TEXT(Y21,"0.0%")&amp;" of "&amp;TEXT(X21,"0.0%"))</f>
      </c>
      <c r="AA21" s="5">
        <f>IF(OR(X21="",Y21="",X21=0),"",Y21/X21)</f>
      </c>
      <c r="AB21" s="4"/>
      <c r="AC21" s="4"/>
      <c r="AD21" s="0">
        <f>IF(OR(AB21="",AC21=""),"",TEXT(AC21,"0.0%")&amp;" of "&amp;TEXT(AB21,"0.0%"))</f>
      </c>
      <c r="AE21" s="5">
        <f>IF(OR(AB21="",AC21="",AB21=0),"",AC21/AB21)</f>
      </c>
    </row>
    <row r="22" ht="48" customHeight="1">
      <c r="A22" s="0" t="inlineStr">
        <is>
          <t xml:space="preserve">Growth</t>
        </is>
      </c>
      <c r="B22" s="0" t="inlineStr">
        <is>
          <t xml:space="preserve">External form sign-ups</t>
        </is>
      </c>
      <c r="C22" s="6" t="inlineStr">
        <is>
          <t xml:space="preserve">HubSpot contacts from the landing form. think4ever.com addresses are removed.</t>
        </is>
      </c>
      <c r="D22" s="0" t="inlineStr">
        <is>
          <t xml:space="preserve">Count</t>
        </is>
      </c>
      <c r="E22" s="0" t="inlineStr">
        <is>
          <t xml:space="preserve">Higher</t>
        </is>
      </c>
      <c r="F22" s="0" t="inlineStr">
        <is>
          <t xml:space="preserve">Yes</t>
        </is>
      </c>
      <c r="G22" s="6" t="inlineStr">
        <is>
          <t xml:space="preserve">HubSpot</t>
        </is>
      </c>
      <c r="H22" s="2"/>
      <c r="I22" s="2"/>
      <c r="J22" s="0">
        <f>IF(OR(H22="",I22=""),"",TEXT(I22,"#,##0")&amp;" of "&amp;TEXT(H22,"#,##0"))</f>
      </c>
      <c r="K22" s="5">
        <f>IF(OR(H22="",I22="",H22=0),"",I22/H22)</f>
      </c>
      <c r="L22" s="2"/>
      <c r="M22" s="2"/>
      <c r="N22" s="0">
        <f>IF(OR(L22="",M22=""),"",TEXT(M22,"#,##0")&amp;" of "&amp;TEXT(L22,"#,##0"))</f>
      </c>
      <c r="O22" s="5">
        <f>IF(OR(L22="",M22="",L22=0),"",M22/L22)</f>
      </c>
      <c r="P22" s="2"/>
      <c r="Q22" s="2"/>
      <c r="R22" s="0">
        <f>IF(OR(P22="",Q22=""),"",TEXT(Q22,"#,##0")&amp;" of "&amp;TEXT(P22,"#,##0"))</f>
      </c>
      <c r="S22" s="5">
        <f>IF(OR(P22="",Q22="",P22=0),"",Q22/P22)</f>
      </c>
      <c r="T22" s="2"/>
      <c r="U22" s="2"/>
      <c r="V22" s="0">
        <f>IF(OR(T22="",U22=""),"",TEXT(U22,"#,##0")&amp;" of "&amp;TEXT(T22,"#,##0"))</f>
      </c>
      <c r="W22" s="5">
        <f>IF(OR(T22="",U22="",T22=0),"",U22/T22)</f>
      </c>
      <c r="X22" s="2"/>
      <c r="Y22" s="2"/>
      <c r="Z22" s="0">
        <f>IF(OR(X22="",Y22=""),"",TEXT(Y22,"#,##0")&amp;" of "&amp;TEXT(X22,"#,##0"))</f>
      </c>
      <c r="AA22" s="5">
        <f>IF(OR(X22="",Y22="",X22=0),"",Y22/X22)</f>
      </c>
      <c r="AB22" s="2"/>
      <c r="AC22" s="2"/>
      <c r="AD22" s="0">
        <f>IF(OR(AB22="",AC22=""),"",TEXT(AC22,"#,##0")&amp;" of "&amp;TEXT(AB22,"#,##0"))</f>
      </c>
      <c r="AE22" s="5">
        <f>IF(OR(AB22="",AC22="",AB22=0),"",AC22/AB22)</f>
      </c>
    </row>
    <row r="23" ht="48" customHeight="1">
      <c r="A23" s="0" t="inlineStr">
        <is>
          <t xml:space="preserve">Growth</t>
        </is>
      </c>
      <c r="B23" s="0" t="inlineStr">
        <is>
          <t xml:space="preserve">New accounts</t>
        </is>
      </c>
      <c r="C23" s="6" t="inlineStr">
        <is>
          <t xml:space="preserve">New external accounts created in the product. Internal accounts are removed. The Growth page compares this count with the previous month.</t>
        </is>
      </c>
      <c r="D23" s="0" t="inlineStr">
        <is>
          <t xml:space="preserve">Count</t>
        </is>
      </c>
      <c r="E23" s="0" t="inlineStr">
        <is>
          <t xml:space="preserve">Higher</t>
        </is>
      </c>
      <c r="F23" s="0" t="inlineStr">
        <is>
          <t xml:space="preserve">Yes</t>
        </is>
      </c>
      <c r="G23" s="6" t="inlineStr">
        <is>
          <t xml:space="preserve">PostHog</t>
        </is>
      </c>
      <c r="H23" s="2"/>
      <c r="I23" s="2"/>
      <c r="J23" s="0">
        <f>IF(OR(H23="",I23=""),"",TEXT(I23,"#,##0")&amp;" of "&amp;TEXT(H23,"#,##0"))</f>
      </c>
      <c r="K23" s="5">
        <f>IF(OR(H23="",I23="",H23=0),"",I23/H23)</f>
      </c>
      <c r="L23" s="2"/>
      <c r="M23" s="2"/>
      <c r="N23" s="0">
        <f>IF(OR(L23="",M23=""),"",TEXT(M23,"#,##0")&amp;" of "&amp;TEXT(L23,"#,##0"))</f>
      </c>
      <c r="O23" s="5">
        <f>IF(OR(L23="",M23="",L23=0),"",M23/L23)</f>
      </c>
      <c r="P23" s="2"/>
      <c r="Q23" s="2"/>
      <c r="R23" s="0">
        <f>IF(OR(P23="",Q23=""),"",TEXT(Q23,"#,##0")&amp;" of "&amp;TEXT(P23,"#,##0"))</f>
      </c>
      <c r="S23" s="5">
        <f>IF(OR(P23="",Q23="",P23=0),"",Q23/P23)</f>
      </c>
      <c r="T23" s="2"/>
      <c r="U23" s="2"/>
      <c r="V23" s="0">
        <f>IF(OR(T23="",U23=""),"",TEXT(U23,"#,##0")&amp;" of "&amp;TEXT(T23,"#,##0"))</f>
      </c>
      <c r="W23" s="5">
        <f>IF(OR(T23="",U23="",T23=0),"",U23/T23)</f>
      </c>
      <c r="X23" s="2"/>
      <c r="Y23" s="2"/>
      <c r="Z23" s="0">
        <f>IF(OR(X23="",Y23=""),"",TEXT(Y23,"#,##0")&amp;" of "&amp;TEXT(X23,"#,##0"))</f>
      </c>
      <c r="AA23" s="5">
        <f>IF(OR(X23="",Y23="",X23=0),"",Y23/X23)</f>
      </c>
      <c r="AB23" s="2"/>
      <c r="AC23" s="2"/>
      <c r="AD23" s="0">
        <f>IF(OR(AB23="",AC23=""),"",TEXT(AC23,"#,##0")&amp;" of "&amp;TEXT(AB23,"#,##0"))</f>
      </c>
      <c r="AE23" s="5">
        <f>IF(OR(AB23="",AC23="",AB23=0),"",AC23/AB23)</f>
      </c>
    </row>
    <row r="24" ht="48" customHeight="1">
      <c r="A24" s="0" t="inlineStr">
        <is>
          <t xml:space="preserve">Growth</t>
        </is>
      </c>
      <c r="B24" s="0" t="inlineStr">
        <is>
          <t xml:space="preserve">Visit-to-sign-up rate</t>
        </is>
      </c>
      <c r="C24" s="6" t="inlineStr">
        <is>
          <t xml:space="preserve">External platform sign-ups divided by landing sessions.</t>
        </is>
      </c>
      <c r="D24" s="0" t="inlineStr">
        <is>
          <t xml:space="preserve">Rate</t>
        </is>
      </c>
      <c r="E24" s="0" t="inlineStr">
        <is>
          <t xml:space="preserve">Higher</t>
        </is>
      </c>
      <c r="F24" s="0" t="inlineStr">
        <is>
          <t xml:space="preserve">Yes</t>
        </is>
      </c>
      <c r="G24" s="6" t="inlineStr">
        <is>
          <t xml:space="preserve">HubSpot, PostHog</t>
        </is>
      </c>
      <c r="H24" s="4"/>
      <c r="I24" s="4"/>
      <c r="J24" s="0">
        <f>IF(OR(H24="",I24=""),"",TEXT(I24,"0.0%")&amp;" of "&amp;TEXT(H24,"0.0%"))</f>
      </c>
      <c r="K24" s="5">
        <f>IF(OR(H24="",I24="",H24=0),"",I24/H24)</f>
      </c>
      <c r="L24" s="4"/>
      <c r="M24" s="4"/>
      <c r="N24" s="0">
        <f>IF(OR(L24="",M24=""),"",TEXT(M24,"0.0%")&amp;" of "&amp;TEXT(L24,"0.0%"))</f>
      </c>
      <c r="O24" s="5">
        <f>IF(OR(L24="",M24="",L24=0),"",M24/L24)</f>
      </c>
      <c r="P24" s="4"/>
      <c r="Q24" s="4"/>
      <c r="R24" s="0">
        <f>IF(OR(P24="",Q24=""),"",TEXT(Q24,"0.0%")&amp;" of "&amp;TEXT(P24,"0.0%"))</f>
      </c>
      <c r="S24" s="5">
        <f>IF(OR(P24="",Q24="",P24=0),"",Q24/P24)</f>
      </c>
      <c r="T24" s="4"/>
      <c r="U24" s="4"/>
      <c r="V24" s="0">
        <f>IF(OR(T24="",U24=""),"",TEXT(U24,"0.0%")&amp;" of "&amp;TEXT(T24,"0.0%"))</f>
      </c>
      <c r="W24" s="5">
        <f>IF(OR(T24="",U24="",T24=0),"",U24/T24)</f>
      </c>
      <c r="X24" s="4"/>
      <c r="Y24" s="4"/>
      <c r="Z24" s="0">
        <f>IF(OR(X24="",Y24=""),"",TEXT(Y24,"0.0%")&amp;" of "&amp;TEXT(X24,"0.0%"))</f>
      </c>
      <c r="AA24" s="5">
        <f>IF(OR(X24="",Y24="",X24=0),"",Y24/X24)</f>
      </c>
      <c r="AB24" s="4"/>
      <c r="AC24" s="4"/>
      <c r="AD24" s="0">
        <f>IF(OR(AB24="",AC24=""),"",TEXT(AC24,"0.0%")&amp;" of "&amp;TEXT(AB24,"0.0%"))</f>
      </c>
      <c r="AE24" s="5">
        <f>IF(OR(AB24="",AC24="",AB24=0),"",AC24/AB24)</f>
      </c>
    </row>
    <row r="25" ht="48" customHeight="1">
      <c r="A25" s="0" t="inlineStr">
        <is>
          <t xml:space="preserve">Core product</t>
        </is>
      </c>
      <c r="B25" s="0" t="inlineStr">
        <is>
          <t xml:space="preserve">Customers</t>
        </is>
      </c>
      <c r="C25" s="6" t="inlineStr">
        <is>
          <t xml:space="preserve">External accounts that are still open at the end of the period. Canceled and deleted accounts are not included.</t>
        </is>
      </c>
      <c r="D25" s="0" t="inlineStr">
        <is>
          <t xml:space="preserve">Count</t>
        </is>
      </c>
      <c r="E25" s="0" t="inlineStr">
        <is>
          <t xml:space="preserve">Higher</t>
        </is>
      </c>
      <c r="F25" s="0" t="inlineStr">
        <is>
          <t xml:space="preserve">Yes</t>
        </is>
      </c>
      <c r="G25" s="6" t="inlineStr">
        <is>
          <t xml:space="preserve">PostHog</t>
        </is>
      </c>
      <c r="H25" s="2"/>
      <c r="I25" s="2"/>
      <c r="J25" s="0">
        <f>IF(OR(H25="",I25=""),"",TEXT(I25,"#,##0")&amp;" of "&amp;TEXT(H25,"#,##0"))</f>
      </c>
      <c r="K25" s="5">
        <f>IF(OR(H25="",I25="",H25=0),"",I25/H25)</f>
      </c>
      <c r="L25" s="2"/>
      <c r="M25" s="2"/>
      <c r="N25" s="0">
        <f>IF(OR(L25="",M25=""),"",TEXT(M25,"#,##0")&amp;" of "&amp;TEXT(L25,"#,##0"))</f>
      </c>
      <c r="O25" s="5">
        <f>IF(OR(L25="",M25="",L25=0),"",M25/L25)</f>
      </c>
      <c r="P25" s="2"/>
      <c r="Q25" s="2"/>
      <c r="R25" s="0">
        <f>IF(OR(P25="",Q25=""),"",TEXT(Q25,"#,##0")&amp;" of "&amp;TEXT(P25,"#,##0"))</f>
      </c>
      <c r="S25" s="5">
        <f>IF(OR(P25="",Q25="",P25=0),"",Q25/P25)</f>
      </c>
      <c r="T25" s="2"/>
      <c r="U25" s="2"/>
      <c r="V25" s="0">
        <f>IF(OR(T25="",U25=""),"",TEXT(U25,"#,##0")&amp;" of "&amp;TEXT(T25,"#,##0"))</f>
      </c>
      <c r="W25" s="5">
        <f>IF(OR(T25="",U25="",T25=0),"",U25/T25)</f>
      </c>
      <c r="X25" s="2"/>
      <c r="Y25" s="2"/>
      <c r="Z25" s="0">
        <f>IF(OR(X25="",Y25=""),"",TEXT(Y25,"#,##0")&amp;" of "&amp;TEXT(X25,"#,##0"))</f>
      </c>
      <c r="AA25" s="5">
        <f>IF(OR(X25="",Y25="",X25=0),"",Y25/X25)</f>
      </c>
      <c r="AB25" s="2"/>
      <c r="AC25" s="2"/>
      <c r="AD25" s="0">
        <f>IF(OR(AB25="",AC25=""),"",TEXT(AC25,"#,##0")&amp;" of "&amp;TEXT(AB25,"#,##0"))</f>
      </c>
      <c r="AE25" s="5">
        <f>IF(OR(AB25="",AC25="",AB25=0),"",AC25/AB25)</f>
      </c>
    </row>
    <row r="26" ht="48" customHeight="1">
      <c r="A26" s="0" t="inlineStr">
        <is>
          <t xml:space="preserve">Core product</t>
        </is>
      </c>
      <c r="B26" s="0" t="inlineStr">
        <is>
          <t xml:space="preserve">Active customers</t>
        </is>
      </c>
      <c r="C26" s="6" t="inlineStr">
        <is>
          <t xml:space="preserve">Open accounts that used the app in the 7 days ending on the last day of the period.</t>
        </is>
      </c>
      <c r="D26" s="0" t="inlineStr">
        <is>
          <t xml:space="preserve">Count</t>
        </is>
      </c>
      <c r="E26" s="0" t="inlineStr">
        <is>
          <t xml:space="preserve">Higher</t>
        </is>
      </c>
      <c r="F26" s="0" t="inlineStr">
        <is>
          <t xml:space="preserve">Yes</t>
        </is>
      </c>
      <c r="G26" s="6" t="inlineStr">
        <is>
          <t xml:space="preserve">PostHog</t>
        </is>
      </c>
      <c r="H26" s="2"/>
      <c r="I26" s="2"/>
      <c r="J26" s="0">
        <f>IF(OR(H26="",I26=""),"",TEXT(I26,"#,##0")&amp;" of "&amp;TEXT(H26,"#,##0"))</f>
      </c>
      <c r="K26" s="5">
        <f>IF(OR(H26="",I26="",H26=0),"",I26/H26)</f>
      </c>
      <c r="L26" s="2"/>
      <c r="M26" s="2"/>
      <c r="N26" s="0">
        <f>IF(OR(L26="",M26=""),"",TEXT(M26,"#,##0")&amp;" of "&amp;TEXT(L26,"#,##0"))</f>
      </c>
      <c r="O26" s="5">
        <f>IF(OR(L26="",M26="",L26=0),"",M26/L26)</f>
      </c>
      <c r="P26" s="2"/>
      <c r="Q26" s="2"/>
      <c r="R26" s="0">
        <f>IF(OR(P26="",Q26=""),"",TEXT(Q26,"#,##0")&amp;" of "&amp;TEXT(P26,"#,##0"))</f>
      </c>
      <c r="S26" s="5">
        <f>IF(OR(P26="",Q26="",P26=0),"",Q26/P26)</f>
      </c>
      <c r="T26" s="2"/>
      <c r="U26" s="2"/>
      <c r="V26" s="0">
        <f>IF(OR(T26="",U26=""),"",TEXT(U26,"#,##0")&amp;" of "&amp;TEXT(T26,"#,##0"))</f>
      </c>
      <c r="W26" s="5">
        <f>IF(OR(T26="",U26="",T26=0),"",U26/T26)</f>
      </c>
      <c r="X26" s="2"/>
      <c r="Y26" s="2"/>
      <c r="Z26" s="0">
        <f>IF(OR(X26="",Y26=""),"",TEXT(Y26,"#,##0")&amp;" of "&amp;TEXT(X26,"#,##0"))</f>
      </c>
      <c r="AA26" s="5">
        <f>IF(OR(X26="",Y26="",X26=0),"",Y26/X26)</f>
      </c>
      <c r="AB26" s="2"/>
      <c r="AC26" s="2"/>
      <c r="AD26" s="0">
        <f>IF(OR(AB26="",AC26=""),"",TEXT(AC26,"#,##0")&amp;" of "&amp;TEXT(AB26,"#,##0"))</f>
      </c>
      <c r="AE26" s="5">
        <f>IF(OR(AB26="",AC26="",AB26=0),"",AC26/AB26)</f>
      </c>
    </row>
    <row r="27" ht="48" customHeight="1">
      <c r="A27" s="0" t="inlineStr">
        <is>
          <t xml:space="preserve">Core product</t>
        </is>
      </c>
      <c r="B27" s="0" t="inlineStr">
        <is>
          <t xml:space="preserve">Activity</t>
        </is>
      </c>
      <c r="C27" s="6" t="inlineStr">
        <is>
          <t xml:space="preserve">Active customers divided by open accounts. Active means they used the app in the last 7 days.</t>
        </is>
      </c>
      <c r="D27" s="0" t="inlineStr">
        <is>
          <t xml:space="preserve">Rate</t>
        </is>
      </c>
      <c r="E27" s="0" t="inlineStr">
        <is>
          <t xml:space="preserve">Higher</t>
        </is>
      </c>
      <c r="F27" s="0" t="inlineStr">
        <is>
          <t xml:space="preserve">Yes</t>
        </is>
      </c>
      <c r="G27" s="6" t="inlineStr">
        <is>
          <t xml:space="preserve">PostHog</t>
        </is>
      </c>
      <c r="H27" s="4"/>
      <c r="I27" s="4"/>
      <c r="J27" s="0">
        <f>IF(OR(H27="",I27=""),"",TEXT(I27,"0.0%")&amp;" of "&amp;TEXT(H27,"0.0%"))</f>
      </c>
      <c r="K27" s="5">
        <f>IF(OR(H27="",I27="",H27=0),"",I27/H27)</f>
      </c>
      <c r="L27" s="4"/>
      <c r="M27" s="4"/>
      <c r="N27" s="0">
        <f>IF(OR(L27="",M27=""),"",TEXT(M27,"0.0%")&amp;" of "&amp;TEXT(L27,"0.0%"))</f>
      </c>
      <c r="O27" s="5">
        <f>IF(OR(L27="",M27="",L27=0),"",M27/L27)</f>
      </c>
      <c r="P27" s="4"/>
      <c r="Q27" s="4"/>
      <c r="R27" s="0">
        <f>IF(OR(P27="",Q27=""),"",TEXT(Q27,"0.0%")&amp;" of "&amp;TEXT(P27,"0.0%"))</f>
      </c>
      <c r="S27" s="5">
        <f>IF(OR(P27="",Q27="",P27=0),"",Q27/P27)</f>
      </c>
      <c r="T27" s="4"/>
      <c r="U27" s="4"/>
      <c r="V27" s="0">
        <f>IF(OR(T27="",U27=""),"",TEXT(U27,"0.0%")&amp;" of "&amp;TEXT(T27,"0.0%"))</f>
      </c>
      <c r="W27" s="5">
        <f>IF(OR(T27="",U27="",T27=0),"",U27/T27)</f>
      </c>
      <c r="X27" s="4"/>
      <c r="Y27" s="4"/>
      <c r="Z27" s="0">
        <f>IF(OR(X27="",Y27=""),"",TEXT(Y27,"0.0%")&amp;" of "&amp;TEXT(X27,"0.0%"))</f>
      </c>
      <c r="AA27" s="5">
        <f>IF(OR(X27="",Y27="",X27=0),"",Y27/X27)</f>
      </c>
      <c r="AB27" s="4"/>
      <c r="AC27" s="4"/>
      <c r="AD27" s="0">
        <f>IF(OR(AB27="",AC27=""),"",TEXT(AC27,"0.0%")&amp;" of "&amp;TEXT(AB27,"0.0%"))</f>
      </c>
      <c r="AE27" s="5">
        <f>IF(OR(AB27="",AC27="",AB27=0),"",AC27/AB27)</f>
      </c>
    </row>
    <row r="28" ht="48" customHeight="1">
      <c r="A28" s="0" t="inlineStr">
        <is>
          <t xml:space="preserve">Core product</t>
        </is>
      </c>
      <c r="B28" s="0" t="inlineStr">
        <is>
          <t xml:space="preserve">Accounts with a project</t>
        </is>
      </c>
      <c r="C28" s="6" t="inlineStr">
        <is>
          <t xml:space="preserve">Open accounts that have at least one project.</t>
        </is>
      </c>
      <c r="D28" s="0" t="inlineStr">
        <is>
          <t xml:space="preserve">Count</t>
        </is>
      </c>
      <c r="E28" s="0" t="inlineStr">
        <is>
          <t xml:space="preserve">Higher</t>
        </is>
      </c>
      <c r="F28" s="0" t="inlineStr">
        <is>
          <t xml:space="preserve">Yes</t>
        </is>
      </c>
      <c r="G28" s="6" t="inlineStr">
        <is>
          <t xml:space="preserve">PostHog</t>
        </is>
      </c>
      <c r="H28" s="2"/>
      <c r="I28" s="2"/>
      <c r="J28" s="0">
        <f>IF(OR(H28="",I28=""),"",TEXT(I28,"#,##0")&amp;" of "&amp;TEXT(H28,"#,##0"))</f>
      </c>
      <c r="K28" s="5">
        <f>IF(OR(H28="",I28="",H28=0),"",I28/H28)</f>
      </c>
      <c r="L28" s="2"/>
      <c r="M28" s="2"/>
      <c r="N28" s="0">
        <f>IF(OR(L28="",M28=""),"",TEXT(M28,"#,##0")&amp;" of "&amp;TEXT(L28,"#,##0"))</f>
      </c>
      <c r="O28" s="5">
        <f>IF(OR(L28="",M28="",L28=0),"",M28/L28)</f>
      </c>
      <c r="P28" s="2"/>
      <c r="Q28" s="2"/>
      <c r="R28" s="0">
        <f>IF(OR(P28="",Q28=""),"",TEXT(Q28,"#,##0")&amp;" of "&amp;TEXT(P28,"#,##0"))</f>
      </c>
      <c r="S28" s="5">
        <f>IF(OR(P28="",Q28="",P28=0),"",Q28/P28)</f>
      </c>
      <c r="T28" s="2"/>
      <c r="U28" s="2"/>
      <c r="V28" s="0">
        <f>IF(OR(T28="",U28=""),"",TEXT(U28,"#,##0")&amp;" of "&amp;TEXT(T28,"#,##0"))</f>
      </c>
      <c r="W28" s="5">
        <f>IF(OR(T28="",U28="",T28=0),"",U28/T28)</f>
      </c>
      <c r="X28" s="2"/>
      <c r="Y28" s="2"/>
      <c r="Z28" s="0">
        <f>IF(OR(X28="",Y28=""),"",TEXT(Y28,"#,##0")&amp;" of "&amp;TEXT(X28,"#,##0"))</f>
      </c>
      <c r="AA28" s="5">
        <f>IF(OR(X28="",Y28="",X28=0),"",Y28/X28)</f>
      </c>
      <c r="AB28" s="2"/>
      <c r="AC28" s="2"/>
      <c r="AD28" s="0">
        <f>IF(OR(AB28="",AC28=""),"",TEXT(AC28,"#,##0")&amp;" of "&amp;TEXT(AB28,"#,##0"))</f>
      </c>
      <c r="AE28" s="5">
        <f>IF(OR(AB28="",AC28="",AB28=0),"",AC28/AB28)</f>
      </c>
    </row>
    <row r="29" ht="48" customHeight="1">
      <c r="A29" s="0" t="inlineStr">
        <is>
          <t xml:space="preserve">Core product</t>
        </is>
      </c>
      <c r="B29" s="0" t="inlineStr">
        <is>
          <t xml:space="preserve">Share with a project</t>
        </is>
      </c>
      <c r="C29" s="6" t="inlineStr">
        <is>
          <t xml:space="preserve">Accounts with at least one project divided by open accounts.</t>
        </is>
      </c>
      <c r="D29" s="0" t="inlineStr">
        <is>
          <t xml:space="preserve">Rate</t>
        </is>
      </c>
      <c r="E29" s="0" t="inlineStr">
        <is>
          <t xml:space="preserve">Higher</t>
        </is>
      </c>
      <c r="F29" s="0" t="inlineStr">
        <is>
          <t xml:space="preserve">Yes</t>
        </is>
      </c>
      <c r="G29" s="6" t="inlineStr">
        <is>
          <t xml:space="preserve">PostHog</t>
        </is>
      </c>
      <c r="H29" s="4"/>
      <c r="I29" s="4"/>
      <c r="J29" s="0">
        <f>IF(OR(H29="",I29=""),"",TEXT(I29,"0.0%")&amp;" of "&amp;TEXT(H29,"0.0%"))</f>
      </c>
      <c r="K29" s="5">
        <f>IF(OR(H29="",I29="",H29=0),"",I29/H29)</f>
      </c>
      <c r="L29" s="4"/>
      <c r="M29" s="4"/>
      <c r="N29" s="0">
        <f>IF(OR(L29="",M29=""),"",TEXT(M29,"0.0%")&amp;" of "&amp;TEXT(L29,"0.0%"))</f>
      </c>
      <c r="O29" s="5">
        <f>IF(OR(L29="",M29="",L29=0),"",M29/L29)</f>
      </c>
      <c r="P29" s="4"/>
      <c r="Q29" s="4"/>
      <c r="R29" s="0">
        <f>IF(OR(P29="",Q29=""),"",TEXT(Q29,"0.0%")&amp;" of "&amp;TEXT(P29,"0.0%"))</f>
      </c>
      <c r="S29" s="5">
        <f>IF(OR(P29="",Q29="",P29=0),"",Q29/P29)</f>
      </c>
      <c r="T29" s="4"/>
      <c r="U29" s="4"/>
      <c r="V29" s="0">
        <f>IF(OR(T29="",U29=""),"",TEXT(U29,"0.0%")&amp;" of "&amp;TEXT(T29,"0.0%"))</f>
      </c>
      <c r="W29" s="5">
        <f>IF(OR(T29="",U29="",T29=0),"",U29/T29)</f>
      </c>
      <c r="X29" s="4"/>
      <c r="Y29" s="4"/>
      <c r="Z29" s="0">
        <f>IF(OR(X29="",Y29=""),"",TEXT(Y29,"0.0%")&amp;" of "&amp;TEXT(X29,"0.0%"))</f>
      </c>
      <c r="AA29" s="5">
        <f>IF(OR(X29="",Y29="",X29=0),"",Y29/X29)</f>
      </c>
      <c r="AB29" s="4"/>
      <c r="AC29" s="4"/>
      <c r="AD29" s="0">
        <f>IF(OR(AB29="",AC29=""),"",TEXT(AC29,"0.0%")&amp;" of "&amp;TEXT(AB29,"0.0%"))</f>
      </c>
      <c r="AE29" s="5">
        <f>IF(OR(AB29="",AC29="",AB29=0),"",AC29/AB29)</f>
      </c>
    </row>
    <row r="30" ht="48" customHeight="1">
      <c r="A30" s="0" t="inlineStr">
        <is>
          <t xml:space="preserve">Core product</t>
        </is>
      </c>
      <c r="B30" s="0" t="inlineStr">
        <is>
          <t xml:space="preserve">Avg projects per account</t>
        </is>
      </c>
      <c r="C30" s="6" t="inlineStr">
        <is>
          <t xml:space="preserve">Projects divided by open accounts, at the end of the period. Accounts with no project pull this average down.</t>
        </is>
      </c>
      <c r="D30" s="0" t="inlineStr">
        <is>
          <t xml:space="preserve">Number</t>
        </is>
      </c>
      <c r="E30" s="0" t="inlineStr">
        <is>
          <t xml:space="preserve">Higher</t>
        </is>
      </c>
      <c r="F30" s="0" t="inlineStr">
        <is>
          <t xml:space="preserve">Yes</t>
        </is>
      </c>
      <c r="G30" s="6" t="inlineStr">
        <is>
          <t xml:space="preserve">PostHog</t>
        </is>
      </c>
      <c r="H30" s="9"/>
      <c r="I30" s="9"/>
      <c r="J30" s="0">
        <f>IF(OR(H30="",I30=""),"",TEXT(I30,"0.0")&amp;" of "&amp;TEXT(H30,"0.0"))</f>
      </c>
      <c r="K30" s="5">
        <f>IF(OR(H30="",I30="",H30=0),"",I30/H30)</f>
      </c>
      <c r="L30" s="9"/>
      <c r="M30" s="9"/>
      <c r="N30" s="0">
        <f>IF(OR(L30="",M30=""),"",TEXT(M30,"0.0")&amp;" of "&amp;TEXT(L30,"0.0"))</f>
      </c>
      <c r="O30" s="5">
        <f>IF(OR(L30="",M30="",L30=0),"",M30/L30)</f>
      </c>
      <c r="P30" s="9"/>
      <c r="Q30" s="9"/>
      <c r="R30" s="0">
        <f>IF(OR(P30="",Q30=""),"",TEXT(Q30,"0.0")&amp;" of "&amp;TEXT(P30,"0.0"))</f>
      </c>
      <c r="S30" s="5">
        <f>IF(OR(P30="",Q30="",P30=0),"",Q30/P30)</f>
      </c>
      <c r="T30" s="9"/>
      <c r="U30" s="9"/>
      <c r="V30" s="0">
        <f>IF(OR(T30="",U30=""),"",TEXT(U30,"0.0")&amp;" of "&amp;TEXT(T30,"0.0"))</f>
      </c>
      <c r="W30" s="5">
        <f>IF(OR(T30="",U30="",T30=0),"",U30/T30)</f>
      </c>
      <c r="X30" s="9"/>
      <c r="Y30" s="9"/>
      <c r="Z30" s="0">
        <f>IF(OR(X30="",Y30=""),"",TEXT(Y30,"0.0")&amp;" of "&amp;TEXT(X30,"0.0"))</f>
      </c>
      <c r="AA30" s="5">
        <f>IF(OR(X30="",Y30="",X30=0),"",Y30/X30)</f>
      </c>
      <c r="AB30" s="9"/>
      <c r="AC30" s="9"/>
      <c r="AD30" s="0">
        <f>IF(OR(AB30="",AC30=""),"",TEXT(AC30,"0.0")&amp;" of "&amp;TEXT(AB30,"0.0"))</f>
      </c>
      <c r="AE30" s="5">
        <f>IF(OR(AB30="",AC30="",AB30=0),"",AC30/AB30)</f>
      </c>
    </row>
    <row r="31" ht="48" customHeight="1">
      <c r="A31" s="0" t="inlineStr">
        <is>
          <t xml:space="preserve">Core product</t>
        </is>
      </c>
      <c r="B31" s="0" t="inlineStr">
        <is>
          <t xml:space="preserve">Avg credits per active customer</t>
        </is>
      </c>
      <c r="C31" s="6" t="inlineStr">
        <is>
          <t xml:space="preserve">Credits spent in the last 7 days divided by customers who used the app in those 7 days.</t>
        </is>
      </c>
      <c r="D31" s="0" t="inlineStr">
        <is>
          <t xml:space="preserve">Number</t>
        </is>
      </c>
      <c r="E31" s="0" t="inlineStr">
        <is>
          <t xml:space="preserve">Higher</t>
        </is>
      </c>
      <c r="F31" s="0" t="inlineStr">
        <is>
          <t xml:space="preserve">Yes</t>
        </is>
      </c>
      <c r="G31" s="6" t="inlineStr">
        <is>
          <t xml:space="preserve">PostHog</t>
        </is>
      </c>
      <c r="H31" s="9"/>
      <c r="I31" s="9"/>
      <c r="J31" s="0">
        <f>IF(OR(H31="",I31=""),"",TEXT(I31,"0.0")&amp;" of "&amp;TEXT(H31,"0.0"))</f>
      </c>
      <c r="K31" s="5">
        <f>IF(OR(H31="",I31="",H31=0),"",I31/H31)</f>
      </c>
      <c r="L31" s="9"/>
      <c r="M31" s="9"/>
      <c r="N31" s="0">
        <f>IF(OR(L31="",M31=""),"",TEXT(M31,"0.0")&amp;" of "&amp;TEXT(L31,"0.0"))</f>
      </c>
      <c r="O31" s="5">
        <f>IF(OR(L31="",M31="",L31=0),"",M31/L31)</f>
      </c>
      <c r="P31" s="9"/>
      <c r="Q31" s="9"/>
      <c r="R31" s="0">
        <f>IF(OR(P31="",Q31=""),"",TEXT(Q31,"0.0")&amp;" of "&amp;TEXT(P31,"0.0"))</f>
      </c>
      <c r="S31" s="5">
        <f>IF(OR(P31="",Q31="",P31=0),"",Q31/P31)</f>
      </c>
      <c r="T31" s="9"/>
      <c r="U31" s="9"/>
      <c r="V31" s="0">
        <f>IF(OR(T31="",U31=""),"",TEXT(U31,"0.0")&amp;" of "&amp;TEXT(T31,"0.0"))</f>
      </c>
      <c r="W31" s="5">
        <f>IF(OR(T31="",U31="",T31=0),"",U31/T31)</f>
      </c>
      <c r="X31" s="9"/>
      <c r="Y31" s="9"/>
      <c r="Z31" s="0">
        <f>IF(OR(X31="",Y31=""),"",TEXT(Y31,"0.0")&amp;" of "&amp;TEXT(X31,"0.0"))</f>
      </c>
      <c r="AA31" s="5">
        <f>IF(OR(X31="",Y31="",X31=0),"",Y31/X31)</f>
      </c>
      <c r="AB31" s="9"/>
      <c r="AC31" s="9"/>
      <c r="AD31" s="0">
        <f>IF(OR(AB31="",AC31=""),"",TEXT(AC31,"0.0")&amp;" of "&amp;TEXT(AB31,"0.0"))</f>
      </c>
      <c r="AE31" s="5">
        <f>IF(OR(AB31="",AC31="",AB31=0),"",AC31/AB31)</f>
      </c>
    </row>
    <row r="32" ht="48" customHeight="1">
      <c r="A32" s="0" t="inlineStr">
        <is>
          <t xml:space="preserve">Core product</t>
        </is>
      </c>
      <c r="B32" s="0" t="inlineStr">
        <is>
          <t xml:space="preserve">Cancellation rate</t>
        </is>
      </c>
      <c r="C32" s="6" t="inlineStr">
        <is>
          <t xml:space="preserve">Accounts canceled or deleted in the period divided by open accounts at the start of the period. Lower is better.</t>
        </is>
      </c>
      <c r="D32" s="0" t="inlineStr">
        <is>
          <t xml:space="preserve">Rate</t>
        </is>
      </c>
      <c r="E32" s="0" t="inlineStr">
        <is>
          <t xml:space="preserve">Lower</t>
        </is>
      </c>
      <c r="F32" s="0" t="inlineStr">
        <is>
          <t xml:space="preserve">Yes</t>
        </is>
      </c>
      <c r="G32" s="6" t="inlineStr">
        <is>
          <t xml:space="preserve">PostHog</t>
        </is>
      </c>
      <c r="H32" s="4"/>
      <c r="I32" s="4"/>
      <c r="J32" s="0">
        <f>IF(OR(H32="",I32=""),"",TEXT(I32,"0.0%")&amp;" of "&amp;TEXT(H32,"0.0%"))</f>
      </c>
      <c r="K32" s="5">
        <f>IF(OR(H32="",I32="",I32=0),"",H32/I32)</f>
      </c>
      <c r="L32" s="4"/>
      <c r="M32" s="4"/>
      <c r="N32" s="0">
        <f>IF(OR(L32="",M32=""),"",TEXT(M32,"0.0%")&amp;" of "&amp;TEXT(L32,"0.0%"))</f>
      </c>
      <c r="O32" s="5">
        <f>IF(OR(L32="",M32="",M32=0),"",L32/M32)</f>
      </c>
      <c r="P32" s="4"/>
      <c r="Q32" s="4"/>
      <c r="R32" s="0">
        <f>IF(OR(P32="",Q32=""),"",TEXT(Q32,"0.0%")&amp;" of "&amp;TEXT(P32,"0.0%"))</f>
      </c>
      <c r="S32" s="5">
        <f>IF(OR(P32="",Q32="",Q32=0),"",P32/Q32)</f>
      </c>
      <c r="T32" s="4"/>
      <c r="U32" s="4"/>
      <c r="V32" s="0">
        <f>IF(OR(T32="",U32=""),"",TEXT(U32,"0.0%")&amp;" of "&amp;TEXT(T32,"0.0%"))</f>
      </c>
      <c r="W32" s="5">
        <f>IF(OR(T32="",U32="",U32=0),"",T32/U32)</f>
      </c>
      <c r="X32" s="4"/>
      <c r="Y32" s="4"/>
      <c r="Z32" s="0">
        <f>IF(OR(X32="",Y32=""),"",TEXT(Y32,"0.0%")&amp;" of "&amp;TEXT(X32,"0.0%"))</f>
      </c>
      <c r="AA32" s="5">
        <f>IF(OR(X32="",Y32="",Y32=0),"",X32/Y32)</f>
      </c>
      <c r="AB32" s="4"/>
      <c r="AC32" s="4"/>
      <c r="AD32" s="0">
        <f>IF(OR(AB32="",AC32=""),"",TEXT(AC32,"0.0%")&amp;" of "&amp;TEXT(AB32,"0.0%"))</f>
      </c>
      <c r="AE32" s="5">
        <f>IF(OR(AB32="",AC32="",AC32=0),"",AB32/AC32)</f>
      </c>
    </row>
    <row r="33" ht="48" customHeight="1">
      <c r="A33" s="0" t="inlineStr">
        <is>
          <t xml:space="preserve">Core product</t>
        </is>
      </c>
      <c r="B33" s="0" t="inlineStr">
        <is>
          <t xml:space="preserve">Churn rate</t>
        </is>
      </c>
      <c r="C33" s="6" t="inlineStr">
        <is>
          <t xml:space="preserve">Customers who paid last month and are no longer paying, divided by everyone who was paying at the end of last month. Lower is better.</t>
        </is>
      </c>
      <c r="D33" s="0" t="inlineStr">
        <is>
          <t xml:space="preserve">Rate</t>
        </is>
      </c>
      <c r="E33" s="0" t="inlineStr">
        <is>
          <t xml:space="preserve">Lower</t>
        </is>
      </c>
      <c r="F33" s="0" t="inlineStr">
        <is>
          <t xml:space="preserve">Yes</t>
        </is>
      </c>
      <c r="G33" s="6" t="inlineStr">
        <is>
          <t xml:space="preserve">Platform billing (to confirm)</t>
        </is>
      </c>
      <c r="H33" s="4"/>
      <c r="I33" s="4"/>
      <c r="J33" s="0">
        <f>IF(OR(H33="",I33=""),"",TEXT(I33,"0.0%")&amp;" of "&amp;TEXT(H33,"0.0%"))</f>
      </c>
      <c r="K33" s="5">
        <f>IF(OR(H33="",I33="",I33=0),"",H33/I33)</f>
      </c>
      <c r="L33" s="4"/>
      <c r="M33" s="4"/>
      <c r="N33" s="0">
        <f>IF(OR(L33="",M33=""),"",TEXT(M33,"0.0%")&amp;" of "&amp;TEXT(L33,"0.0%"))</f>
      </c>
      <c r="O33" s="5">
        <f>IF(OR(L33="",M33="",M33=0),"",L33/M33)</f>
      </c>
      <c r="P33" s="4"/>
      <c r="Q33" s="4"/>
      <c r="R33" s="0">
        <f>IF(OR(P33="",Q33=""),"",TEXT(Q33,"0.0%")&amp;" of "&amp;TEXT(P33,"0.0%"))</f>
      </c>
      <c r="S33" s="5">
        <f>IF(OR(P33="",Q33="",Q33=0),"",P33/Q33)</f>
      </c>
      <c r="T33" s="4"/>
      <c r="U33" s="4"/>
      <c r="V33" s="0">
        <f>IF(OR(T33="",U33=""),"",TEXT(U33,"0.0%")&amp;" of "&amp;TEXT(T33,"0.0%"))</f>
      </c>
      <c r="W33" s="5">
        <f>IF(OR(T33="",U33="",U33=0),"",T33/U33)</f>
      </c>
      <c r="X33" s="4"/>
      <c r="Y33" s="4"/>
      <c r="Z33" s="0">
        <f>IF(OR(X33="",Y33=""),"",TEXT(Y33,"0.0%")&amp;" of "&amp;TEXT(X33,"0.0%"))</f>
      </c>
      <c r="AA33" s="5">
        <f>IF(OR(X33="",Y33="",Y33=0),"",X33/Y33)</f>
      </c>
      <c r="AB33" s="4"/>
      <c r="AC33" s="4"/>
      <c r="AD33" s="0">
        <f>IF(OR(AB33="",AC33=""),"",TEXT(AC33,"0.0%")&amp;" of "&amp;TEXT(AB33,"0.0%"))</f>
      </c>
      <c r="AE33" s="5">
        <f>IF(OR(AB33="",AC33="",AC33=0),"",AB33/AC33)</f>
      </c>
    </row>
    <row r="34" ht="48" customHeight="1">
      <c r="A34" s="0" t="inlineStr">
        <is>
          <t xml:space="preserve">Core product</t>
        </is>
      </c>
      <c r="B34" s="0" t="inlineStr">
        <is>
          <t xml:space="preserve">New external accounts</t>
        </is>
      </c>
      <c r="C34" s="6" t="inlineStr">
        <is>
          <t xml:space="preserve">Same count as new accounts on Growth, repeated so the product section stands alone.</t>
        </is>
      </c>
      <c r="D34" s="0" t="inlineStr">
        <is>
          <t xml:space="preserve">Count</t>
        </is>
      </c>
      <c r="E34" s="0" t="inlineStr">
        <is>
          <t xml:space="preserve">Higher</t>
        </is>
      </c>
      <c r="F34" s="0" t="inlineStr">
        <is>
          <t xml:space="preserve">Yes</t>
        </is>
      </c>
      <c r="G34" s="6" t="inlineStr">
        <is>
          <t xml:space="preserve">PostHog</t>
        </is>
      </c>
      <c r="H34" s="2"/>
      <c r="I34" s="2"/>
      <c r="J34" s="0">
        <f>IF(OR(H34="",I34=""),"",TEXT(I34,"#,##0")&amp;" of "&amp;TEXT(H34,"#,##0"))</f>
      </c>
      <c r="K34" s="5">
        <f>IF(OR(H34="",I34="",H34=0),"",I34/H34)</f>
      </c>
      <c r="L34" s="2"/>
      <c r="M34" s="2"/>
      <c r="N34" s="0">
        <f>IF(OR(L34="",M34=""),"",TEXT(M34,"#,##0")&amp;" of "&amp;TEXT(L34,"#,##0"))</f>
      </c>
      <c r="O34" s="5">
        <f>IF(OR(L34="",M34="",L34=0),"",M34/L34)</f>
      </c>
      <c r="P34" s="2"/>
      <c r="Q34" s="2"/>
      <c r="R34" s="0">
        <f>IF(OR(P34="",Q34=""),"",TEXT(Q34,"#,##0")&amp;" of "&amp;TEXT(P34,"#,##0"))</f>
      </c>
      <c r="S34" s="5">
        <f>IF(OR(P34="",Q34="",P34=0),"",Q34/P34)</f>
      </c>
      <c r="T34" s="2"/>
      <c r="U34" s="2"/>
      <c r="V34" s="0">
        <f>IF(OR(T34="",U34=""),"",TEXT(U34,"#,##0")&amp;" of "&amp;TEXT(T34,"#,##0"))</f>
      </c>
      <c r="W34" s="5">
        <f>IF(OR(T34="",U34="",T34=0),"",U34/T34)</f>
      </c>
      <c r="X34" s="2"/>
      <c r="Y34" s="2"/>
      <c r="Z34" s="0">
        <f>IF(OR(X34="",Y34=""),"",TEXT(Y34,"#,##0")&amp;" of "&amp;TEXT(X34,"#,##0"))</f>
      </c>
      <c r="AA34" s="5">
        <f>IF(OR(X34="",Y34="",X34=0),"",Y34/X34)</f>
      </c>
      <c r="AB34" s="2"/>
      <c r="AC34" s="2"/>
      <c r="AD34" s="0">
        <f>IF(OR(AB34="",AC34=""),"",TEXT(AC34,"#,##0")&amp;" of "&amp;TEXT(AB34,"#,##0"))</f>
      </c>
      <c r="AE34" s="5">
        <f>IF(OR(AB34="",AC34="",AB34=0),"",AC34/AB34)</f>
      </c>
    </row>
    <row r="35" ht="48" customHeight="1">
      <c r="A35" s="0" t="inlineStr">
        <is>
          <t xml:space="preserve">Core product</t>
        </is>
      </c>
      <c r="B35" s="0" t="inlineStr">
        <is>
          <t xml:space="preserve">Activated accounts</t>
        </is>
      </c>
      <c r="C35" s="6" t="inlineStr">
        <is>
          <t xml:space="preserve">New external accounts that created a first project in the month.</t>
        </is>
      </c>
      <c r="D35" s="0" t="inlineStr">
        <is>
          <t xml:space="preserve">Count</t>
        </is>
      </c>
      <c r="E35" s="0" t="inlineStr">
        <is>
          <t xml:space="preserve">Higher</t>
        </is>
      </c>
      <c r="F35" s="0" t="inlineStr">
        <is>
          <t xml:space="preserve">Yes</t>
        </is>
      </c>
      <c r="G35" s="6" t="inlineStr">
        <is>
          <t xml:space="preserve">PostHog</t>
        </is>
      </c>
      <c r="H35" s="2"/>
      <c r="I35" s="2"/>
      <c r="J35" s="0">
        <f>IF(OR(H35="",I35=""),"",TEXT(I35,"#,##0")&amp;" of "&amp;TEXT(H35,"#,##0"))</f>
      </c>
      <c r="K35" s="5">
        <f>IF(OR(H35="",I35="",H35=0),"",I35/H35)</f>
      </c>
      <c r="L35" s="2"/>
      <c r="M35" s="2"/>
      <c r="N35" s="0">
        <f>IF(OR(L35="",M35=""),"",TEXT(M35,"#,##0")&amp;" of "&amp;TEXT(L35,"#,##0"))</f>
      </c>
      <c r="O35" s="5">
        <f>IF(OR(L35="",M35="",L35=0),"",M35/L35)</f>
      </c>
      <c r="P35" s="2"/>
      <c r="Q35" s="2"/>
      <c r="R35" s="0">
        <f>IF(OR(P35="",Q35=""),"",TEXT(Q35,"#,##0")&amp;" of "&amp;TEXT(P35,"#,##0"))</f>
      </c>
      <c r="S35" s="5">
        <f>IF(OR(P35="",Q35="",P35=0),"",Q35/P35)</f>
      </c>
      <c r="T35" s="2"/>
      <c r="U35" s="2"/>
      <c r="V35" s="0">
        <f>IF(OR(T35="",U35=""),"",TEXT(U35,"#,##0")&amp;" of "&amp;TEXT(T35,"#,##0"))</f>
      </c>
      <c r="W35" s="5">
        <f>IF(OR(T35="",U35="",T35=0),"",U35/T35)</f>
      </c>
      <c r="X35" s="2"/>
      <c r="Y35" s="2"/>
      <c r="Z35" s="0">
        <f>IF(OR(X35="",Y35=""),"",TEXT(Y35,"#,##0")&amp;" of "&amp;TEXT(X35,"#,##0"))</f>
      </c>
      <c r="AA35" s="5">
        <f>IF(OR(X35="",Y35="",X35=0),"",Y35/X35)</f>
      </c>
      <c r="AB35" s="2"/>
      <c r="AC35" s="2"/>
      <c r="AD35" s="0">
        <f>IF(OR(AB35="",AC35=""),"",TEXT(AC35,"#,##0")&amp;" of "&amp;TEXT(AB35,"#,##0"))</f>
      </c>
      <c r="AE35" s="5">
        <f>IF(OR(AB35="",AC35="",AB35=0),"",AC35/AB35)</f>
      </c>
    </row>
    <row r="36" ht="48" customHeight="1">
      <c r="A36" s="0" t="inlineStr">
        <is>
          <t xml:space="preserve">Core product</t>
        </is>
      </c>
      <c r="B36" s="0" t="inlineStr">
        <is>
          <t xml:space="preserve">Activation rate</t>
        </is>
      </c>
      <c r="C36" s="6" t="inlineStr">
        <is>
          <t xml:space="preserve">Activated accounts divided by new external accounts.</t>
        </is>
      </c>
      <c r="D36" s="0" t="inlineStr">
        <is>
          <t xml:space="preserve">Rate</t>
        </is>
      </c>
      <c r="E36" s="0" t="inlineStr">
        <is>
          <t xml:space="preserve">Higher</t>
        </is>
      </c>
      <c r="F36" s="0" t="inlineStr">
        <is>
          <t xml:space="preserve">Yes</t>
        </is>
      </c>
      <c r="G36" s="6" t="inlineStr">
        <is>
          <t xml:space="preserve">PostHog</t>
        </is>
      </c>
      <c r="H36" s="4"/>
      <c r="I36" s="4"/>
      <c r="J36" s="0">
        <f>IF(OR(H36="",I36=""),"",TEXT(I36,"0.0%")&amp;" of "&amp;TEXT(H36,"0.0%"))</f>
      </c>
      <c r="K36" s="5">
        <f>IF(OR(H36="",I36="",H36=0),"",I36/H36)</f>
      </c>
      <c r="L36" s="4"/>
      <c r="M36" s="4"/>
      <c r="N36" s="0">
        <f>IF(OR(L36="",M36=""),"",TEXT(M36,"0.0%")&amp;" of "&amp;TEXT(L36,"0.0%"))</f>
      </c>
      <c r="O36" s="5">
        <f>IF(OR(L36="",M36="",L36=0),"",M36/L36)</f>
      </c>
      <c r="P36" s="4"/>
      <c r="Q36" s="4"/>
      <c r="R36" s="0">
        <f>IF(OR(P36="",Q36=""),"",TEXT(Q36,"0.0%")&amp;" of "&amp;TEXT(P36,"0.0%"))</f>
      </c>
      <c r="S36" s="5">
        <f>IF(OR(P36="",Q36="",P36=0),"",Q36/P36)</f>
      </c>
      <c r="T36" s="4"/>
      <c r="U36" s="4"/>
      <c r="V36" s="0">
        <f>IF(OR(T36="",U36=""),"",TEXT(U36,"0.0%")&amp;" of "&amp;TEXT(T36,"0.0%"))</f>
      </c>
      <c r="W36" s="5">
        <f>IF(OR(T36="",U36="",T36=0),"",U36/T36)</f>
      </c>
      <c r="X36" s="4"/>
      <c r="Y36" s="4"/>
      <c r="Z36" s="0">
        <f>IF(OR(X36="",Y36=""),"",TEXT(Y36,"0.0%")&amp;" of "&amp;TEXT(X36,"0.0%"))</f>
      </c>
      <c r="AA36" s="5">
        <f>IF(OR(X36="",Y36="",X36=0),"",Y36/X36)</f>
      </c>
      <c r="AB36" s="4"/>
      <c r="AC36" s="4"/>
      <c r="AD36" s="0">
        <f>IF(OR(AB36="",AC36=""),"",TEXT(AC36,"0.0%")&amp;" of "&amp;TEXT(AB36,"0.0%"))</f>
      </c>
      <c r="AE36" s="5">
        <f>IF(OR(AB36="",AC36="",AB36=0),"",AC36/AB36)</f>
      </c>
    </row>
    <row r="37" ht="48" customHeight="1">
      <c r="A37" s="0" t="inlineStr">
        <is>
          <t xml:space="preserve">Core product</t>
        </is>
      </c>
      <c r="B37" s="0" t="inlineStr">
        <is>
          <t xml:space="preserve">First builds</t>
        </is>
      </c>
      <c r="C37" s="6" t="inlineStr">
        <is>
          <t xml:space="preserve">Activated accounts that completed a first build in the month.</t>
        </is>
      </c>
      <c r="D37" s="0" t="inlineStr">
        <is>
          <t xml:space="preserve">Count</t>
        </is>
      </c>
      <c r="E37" s="0" t="inlineStr">
        <is>
          <t xml:space="preserve">Higher</t>
        </is>
      </c>
      <c r="F37" s="0" t="inlineStr">
        <is>
          <t xml:space="preserve">Yes</t>
        </is>
      </c>
      <c r="G37" s="6" t="inlineStr">
        <is>
          <t xml:space="preserve">PostHog</t>
        </is>
      </c>
      <c r="H37" s="2"/>
      <c r="I37" s="2"/>
      <c r="J37" s="0">
        <f>IF(OR(H37="",I37=""),"",TEXT(I37,"#,##0")&amp;" of "&amp;TEXT(H37,"#,##0"))</f>
      </c>
      <c r="K37" s="5">
        <f>IF(OR(H37="",I37="",H37=0),"",I37/H37)</f>
      </c>
      <c r="L37" s="2"/>
      <c r="M37" s="2"/>
      <c r="N37" s="0">
        <f>IF(OR(L37="",M37=""),"",TEXT(M37,"#,##0")&amp;" of "&amp;TEXT(L37,"#,##0"))</f>
      </c>
      <c r="O37" s="5">
        <f>IF(OR(L37="",M37="",L37=0),"",M37/L37)</f>
      </c>
      <c r="P37" s="2"/>
      <c r="Q37" s="2"/>
      <c r="R37" s="0">
        <f>IF(OR(P37="",Q37=""),"",TEXT(Q37,"#,##0")&amp;" of "&amp;TEXT(P37,"#,##0"))</f>
      </c>
      <c r="S37" s="5">
        <f>IF(OR(P37="",Q37="",P37=0),"",Q37/P37)</f>
      </c>
      <c r="T37" s="2"/>
      <c r="U37" s="2"/>
      <c r="V37" s="0">
        <f>IF(OR(T37="",U37=""),"",TEXT(U37,"#,##0")&amp;" of "&amp;TEXT(T37,"#,##0"))</f>
      </c>
      <c r="W37" s="5">
        <f>IF(OR(T37="",U37="",T37=0),"",U37/T37)</f>
      </c>
      <c r="X37" s="2"/>
      <c r="Y37" s="2"/>
      <c r="Z37" s="0">
        <f>IF(OR(X37="",Y37=""),"",TEXT(Y37,"#,##0")&amp;" of "&amp;TEXT(X37,"#,##0"))</f>
      </c>
      <c r="AA37" s="5">
        <f>IF(OR(X37="",Y37="",X37=0),"",Y37/X37)</f>
      </c>
      <c r="AB37" s="2"/>
      <c r="AC37" s="2"/>
      <c r="AD37" s="0">
        <f>IF(OR(AB37="",AC37=""),"",TEXT(AC37,"#,##0")&amp;" of "&amp;TEXT(AB37,"#,##0"))</f>
      </c>
      <c r="AE37" s="5">
        <f>IF(OR(AB37="",AC37="",AB37=0),"",AC37/AB37)</f>
      </c>
    </row>
    <row r="38" ht="48" customHeight="1">
      <c r="A38" s="0" t="inlineStr">
        <is>
          <t xml:space="preserve">Core product</t>
        </is>
      </c>
      <c r="B38" s="0" t="inlineStr">
        <is>
          <t xml:space="preserve">Build rate</t>
        </is>
      </c>
      <c r="C38" s="6" t="inlineStr">
        <is>
          <t xml:space="preserve">First builds divided by activated accounts.</t>
        </is>
      </c>
      <c r="D38" s="0" t="inlineStr">
        <is>
          <t xml:space="preserve">Rate</t>
        </is>
      </c>
      <c r="E38" s="0" t="inlineStr">
        <is>
          <t xml:space="preserve">Higher</t>
        </is>
      </c>
      <c r="F38" s="0" t="inlineStr">
        <is>
          <t xml:space="preserve">Yes</t>
        </is>
      </c>
      <c r="G38" s="6" t="inlineStr">
        <is>
          <t xml:space="preserve">PostHog</t>
        </is>
      </c>
      <c r="H38" s="4"/>
      <c r="I38" s="4"/>
      <c r="J38" s="0">
        <f>IF(OR(H38="",I38=""),"",TEXT(I38,"0.0%")&amp;" of "&amp;TEXT(H38,"0.0%"))</f>
      </c>
      <c r="K38" s="5">
        <f>IF(OR(H38="",I38="",H38=0),"",I38/H38)</f>
      </c>
      <c r="L38" s="4"/>
      <c r="M38" s="4"/>
      <c r="N38" s="0">
        <f>IF(OR(L38="",M38=""),"",TEXT(M38,"0.0%")&amp;" of "&amp;TEXT(L38,"0.0%"))</f>
      </c>
      <c r="O38" s="5">
        <f>IF(OR(L38="",M38="",L38=0),"",M38/L38)</f>
      </c>
      <c r="P38" s="4"/>
      <c r="Q38" s="4"/>
      <c r="R38" s="0">
        <f>IF(OR(P38="",Q38=""),"",TEXT(Q38,"0.0%")&amp;" of "&amp;TEXT(P38,"0.0%"))</f>
      </c>
      <c r="S38" s="5">
        <f>IF(OR(P38="",Q38="",P38=0),"",Q38/P38)</f>
      </c>
      <c r="T38" s="4"/>
      <c r="U38" s="4"/>
      <c r="V38" s="0">
        <f>IF(OR(T38="",U38=""),"",TEXT(U38,"0.0%")&amp;" of "&amp;TEXT(T38,"0.0%"))</f>
      </c>
      <c r="W38" s="5">
        <f>IF(OR(T38="",U38="",T38=0),"",U38/T38)</f>
      </c>
      <c r="X38" s="4"/>
      <c r="Y38" s="4"/>
      <c r="Z38" s="0">
        <f>IF(OR(X38="",Y38=""),"",TEXT(Y38,"0.0%")&amp;" of "&amp;TEXT(X38,"0.0%"))</f>
      </c>
      <c r="AA38" s="5">
        <f>IF(OR(X38="",Y38="",X38=0),"",Y38/X38)</f>
      </c>
      <c r="AB38" s="4"/>
      <c r="AC38" s="4"/>
      <c r="AD38" s="0">
        <f>IF(OR(AB38="",AC38=""),"",TEXT(AC38,"0.0%")&amp;" of "&amp;TEXT(AB38,"0.0%"))</f>
      </c>
      <c r="AE38" s="5">
        <f>IF(OR(AB38="",AC38="",AB38=0),"",AC38/AB38)</f>
      </c>
    </row>
    <row r="39" ht="48" customHeight="1">
      <c r="A39" s="0" t="inlineStr">
        <is>
          <t xml:space="preserve">Core product</t>
        </is>
      </c>
      <c r="B39" s="0" t="inlineStr">
        <is>
          <t xml:space="preserve">Monthly active users</t>
        </is>
      </c>
      <c r="C39" s="6" t="inlineStr">
        <is>
          <t xml:space="preserve">Distinct external people active in the product during the month.</t>
        </is>
      </c>
      <c r="D39" s="0" t="inlineStr">
        <is>
          <t xml:space="preserve">Count</t>
        </is>
      </c>
      <c r="E39" s="0" t="inlineStr">
        <is>
          <t xml:space="preserve">Higher</t>
        </is>
      </c>
      <c r="F39" s="0" t="inlineStr">
        <is>
          <t xml:space="preserve">Yes</t>
        </is>
      </c>
      <c r="G39" s="6" t="inlineStr">
        <is>
          <t xml:space="preserve">PostHog</t>
        </is>
      </c>
      <c r="H39" s="2"/>
      <c r="I39" s="2"/>
      <c r="J39" s="0">
        <f>IF(OR(H39="",I39=""),"",TEXT(I39,"#,##0")&amp;" of "&amp;TEXT(H39,"#,##0"))</f>
      </c>
      <c r="K39" s="5">
        <f>IF(OR(H39="",I39="",H39=0),"",I39/H39)</f>
      </c>
      <c r="L39" s="2"/>
      <c r="M39" s="2"/>
      <c r="N39" s="0">
        <f>IF(OR(L39="",M39=""),"",TEXT(M39,"#,##0")&amp;" of "&amp;TEXT(L39,"#,##0"))</f>
      </c>
      <c r="O39" s="5">
        <f>IF(OR(L39="",M39="",L39=0),"",M39/L39)</f>
      </c>
      <c r="P39" s="2"/>
      <c r="Q39" s="2"/>
      <c r="R39" s="0">
        <f>IF(OR(P39="",Q39=""),"",TEXT(Q39,"#,##0")&amp;" of "&amp;TEXT(P39,"#,##0"))</f>
      </c>
      <c r="S39" s="5">
        <f>IF(OR(P39="",Q39="",P39=0),"",Q39/P39)</f>
      </c>
      <c r="T39" s="2"/>
      <c r="U39" s="2"/>
      <c r="V39" s="0">
        <f>IF(OR(T39="",U39=""),"",TEXT(U39,"#,##0")&amp;" of "&amp;TEXT(T39,"#,##0"))</f>
      </c>
      <c r="W39" s="5">
        <f>IF(OR(T39="",U39="",T39=0),"",U39/T39)</f>
      </c>
      <c r="X39" s="2"/>
      <c r="Y39" s="2"/>
      <c r="Z39" s="0">
        <f>IF(OR(X39="",Y39=""),"",TEXT(Y39,"#,##0")&amp;" of "&amp;TEXT(X39,"#,##0"))</f>
      </c>
      <c r="AA39" s="5">
        <f>IF(OR(X39="",Y39="",X39=0),"",Y39/X39)</f>
      </c>
      <c r="AB39" s="2"/>
      <c r="AC39" s="2"/>
      <c r="AD39" s="0">
        <f>IF(OR(AB39="",AC39=""),"",TEXT(AC39,"#,##0")&amp;" of "&amp;TEXT(AB39,"#,##0"))</f>
      </c>
      <c r="AE39" s="5">
        <f>IF(OR(AB39="",AC39="",AB39=0),"",AC39/AB39)</f>
      </c>
    </row>
    <row r="40" ht="48" customHeight="1">
      <c r="A40" s="0" t="inlineStr">
        <is>
          <t xml:space="preserve">Core product</t>
        </is>
      </c>
      <c r="B40" s="0" t="inlineStr">
        <is>
          <t xml:space="preserve">New-account retention</t>
        </is>
      </c>
      <c r="C40" s="6" t="inlineStr">
        <is>
          <t xml:space="preserve">Share of last month’s new external accounts who were active this month. October is blank because this window has no prior month.</t>
        </is>
      </c>
      <c r="D40" s="0" t="inlineStr">
        <is>
          <t xml:space="preserve">Rate</t>
        </is>
      </c>
      <c r="E40" s="0" t="inlineStr">
        <is>
          <t xml:space="preserve">Higher</t>
        </is>
      </c>
      <c r="F40" s="0" t="inlineStr">
        <is>
          <t xml:space="preserve">Yes</t>
        </is>
      </c>
      <c r="G40" s="6" t="inlineStr">
        <is>
          <t xml:space="preserve">PostHog</t>
        </is>
      </c>
      <c r="H40" s="4"/>
      <c r="I40" s="4"/>
      <c r="J40" s="0">
        <f>IF(OR(H40="",I40=""),"",TEXT(I40,"0.0%")&amp;" of "&amp;TEXT(H40,"0.0%"))</f>
      </c>
      <c r="K40" s="5">
        <f>IF(OR(H40="",I40="",H40=0),"",I40/H40)</f>
      </c>
      <c r="L40" s="4"/>
      <c r="M40" s="4"/>
      <c r="N40" s="0">
        <f>IF(OR(L40="",M40=""),"",TEXT(M40,"0.0%")&amp;" of "&amp;TEXT(L40,"0.0%"))</f>
      </c>
      <c r="O40" s="5">
        <f>IF(OR(L40="",M40="",L40=0),"",M40/L40)</f>
      </c>
      <c r="P40" s="4"/>
      <c r="Q40" s="4"/>
      <c r="R40" s="0">
        <f>IF(OR(P40="",Q40=""),"",TEXT(Q40,"0.0%")&amp;" of "&amp;TEXT(P40,"0.0%"))</f>
      </c>
      <c r="S40" s="5">
        <f>IF(OR(P40="",Q40="",P40=0),"",Q40/P40)</f>
      </c>
      <c r="T40" s="4"/>
      <c r="U40" s="4"/>
      <c r="V40" s="0">
        <f>IF(OR(T40="",U40=""),"",TEXT(U40,"0.0%")&amp;" of "&amp;TEXT(T40,"0.0%"))</f>
      </c>
      <c r="W40" s="5">
        <f>IF(OR(T40="",U40="",T40=0),"",U40/T40)</f>
      </c>
      <c r="X40" s="4"/>
      <c r="Y40" s="4"/>
      <c r="Z40" s="0">
        <f>IF(OR(X40="",Y40=""),"",TEXT(Y40,"0.0%")&amp;" of "&amp;TEXT(X40,"0.0%"))</f>
      </c>
      <c r="AA40" s="5">
        <f>IF(OR(X40="",Y40="",X40=0),"",Y40/X40)</f>
      </c>
      <c r="AB40" s="4"/>
      <c r="AC40" s="4"/>
      <c r="AD40" s="0">
        <f>IF(OR(AB40="",AC40=""),"",TEXT(AC40,"0.0%")&amp;" of "&amp;TEXT(AB40,"0.0%"))</f>
      </c>
      <c r="AE40" s="5">
        <f>IF(OR(AB40="",AC40="",AB40=0),"",AC40/AB40)</f>
      </c>
    </row>
    <row r="41" ht="48" customHeight="1">
      <c r="A41" s="0" t="inlineStr">
        <is>
          <t xml:space="preserve">Core product</t>
        </is>
      </c>
      <c r="B41" s="0" t="inlineStr">
        <is>
          <t xml:space="preserve">New paid subscriptions</t>
        </is>
      </c>
      <c r="C41" s="6" t="inlineStr">
        <is>
          <t xml:space="preserve">External accounts that start a paid subscription. Internal accounts are excluded.</t>
        </is>
      </c>
      <c r="D41" s="0" t="inlineStr">
        <is>
          <t xml:space="preserve">Count</t>
        </is>
      </c>
      <c r="E41" s="0" t="inlineStr">
        <is>
          <t xml:space="preserve">Higher</t>
        </is>
      </c>
      <c r="F41" s="0" t="inlineStr">
        <is>
          <t xml:space="preserve">Yes</t>
        </is>
      </c>
      <c r="G41" s="6" t="inlineStr">
        <is>
          <t xml:space="preserve">Platform billing (to confirm)</t>
        </is>
      </c>
      <c r="H41" s="2"/>
      <c r="I41" s="2"/>
      <c r="J41" s="0">
        <f>IF(OR(H41="",I41=""),"",TEXT(I41,"#,##0")&amp;" of "&amp;TEXT(H41,"#,##0"))</f>
      </c>
      <c r="K41" s="5">
        <f>IF(OR(H41="",I41="",H41=0),"",I41/H41)</f>
      </c>
      <c r="L41" s="2"/>
      <c r="M41" s="2"/>
      <c r="N41" s="0">
        <f>IF(OR(L41="",M41=""),"",TEXT(M41,"#,##0")&amp;" of "&amp;TEXT(L41,"#,##0"))</f>
      </c>
      <c r="O41" s="5">
        <f>IF(OR(L41="",M41="",L41=0),"",M41/L41)</f>
      </c>
      <c r="P41" s="2"/>
      <c r="Q41" s="2"/>
      <c r="R41" s="0">
        <f>IF(OR(P41="",Q41=""),"",TEXT(Q41,"#,##0")&amp;" of "&amp;TEXT(P41,"#,##0"))</f>
      </c>
      <c r="S41" s="5">
        <f>IF(OR(P41="",Q41="",P41=0),"",Q41/P41)</f>
      </c>
      <c r="T41" s="2"/>
      <c r="U41" s="2"/>
      <c r="V41" s="0">
        <f>IF(OR(T41="",U41=""),"",TEXT(U41,"#,##0")&amp;" of "&amp;TEXT(T41,"#,##0"))</f>
      </c>
      <c r="W41" s="5">
        <f>IF(OR(T41="",U41="",T41=0),"",U41/T41)</f>
      </c>
      <c r="X41" s="2"/>
      <c r="Y41" s="2"/>
      <c r="Z41" s="0">
        <f>IF(OR(X41="",Y41=""),"",TEXT(Y41,"#,##0")&amp;" of "&amp;TEXT(X41,"#,##0"))</f>
      </c>
      <c r="AA41" s="5">
        <f>IF(OR(X41="",Y41="",X41=0),"",Y41/X41)</f>
      </c>
      <c r="AB41" s="2"/>
      <c r="AC41" s="2"/>
      <c r="AD41" s="0">
        <f>IF(OR(AB41="",AC41=""),"",TEXT(AC41,"#,##0")&amp;" of "&amp;TEXT(AB41,"#,##0"))</f>
      </c>
      <c r="AE41" s="5">
        <f>IF(OR(AB41="",AC41="",AB41=0),"",AC41/AB41)</f>
      </c>
    </row>
    <row r="42" ht="48" customHeight="1">
      <c r="A42" s="0" t="inlineStr">
        <is>
          <t xml:space="preserve">Core product</t>
        </is>
      </c>
      <c r="B42" s="0" t="inlineStr">
        <is>
          <t xml:space="preserve">Sign-up to paid conversion</t>
        </is>
      </c>
      <c r="C42" s="6" t="inlineStr">
        <is>
          <t xml:space="preserve">Of the external platform sign-ups in the month, how many start a paid subscription. The number is paid accounts of that month’s sign-ups. A person counts in the month they signed up, including if they pay later.</t>
        </is>
      </c>
      <c r="D42" s="0" t="inlineStr">
        <is>
          <t xml:space="preserve">Rate</t>
        </is>
      </c>
      <c r="E42" s="0" t="inlineStr">
        <is>
          <t xml:space="preserve">Higher</t>
        </is>
      </c>
      <c r="F42" s="0" t="inlineStr">
        <is>
          <t xml:space="preserve">Yes</t>
        </is>
      </c>
      <c r="G42" s="6" t="inlineStr">
        <is>
          <t xml:space="preserve">PostHog, platform billing (to confirm)</t>
        </is>
      </c>
      <c r="H42" s="4"/>
      <c r="I42" s="4"/>
      <c r="J42" s="0">
        <f>IF(OR(H42="",I42=""),"",TEXT(I42,"0.0%")&amp;" of "&amp;TEXT(H42,"0.0%"))</f>
      </c>
      <c r="K42" s="5">
        <f>IF(OR(H42="",I42="",H42=0),"",I42/H42)</f>
      </c>
      <c r="L42" s="4"/>
      <c r="M42" s="4"/>
      <c r="N42" s="0">
        <f>IF(OR(L42="",M42=""),"",TEXT(M42,"0.0%")&amp;" of "&amp;TEXT(L42,"0.0%"))</f>
      </c>
      <c r="O42" s="5">
        <f>IF(OR(L42="",M42="",L42=0),"",M42/L42)</f>
      </c>
      <c r="P42" s="4"/>
      <c r="Q42" s="4"/>
      <c r="R42" s="0">
        <f>IF(OR(P42="",Q42=""),"",TEXT(Q42,"0.0%")&amp;" of "&amp;TEXT(P42,"0.0%"))</f>
      </c>
      <c r="S42" s="5">
        <f>IF(OR(P42="",Q42="",P42=0),"",Q42/P42)</f>
      </c>
      <c r="T42" s="4"/>
      <c r="U42" s="4"/>
      <c r="V42" s="0">
        <f>IF(OR(T42="",U42=""),"",TEXT(U42,"0.0%")&amp;" of "&amp;TEXT(T42,"0.0%"))</f>
      </c>
      <c r="W42" s="5">
        <f>IF(OR(T42="",U42="",T42=0),"",U42/T42)</f>
      </c>
      <c r="X42" s="4"/>
      <c r="Y42" s="4"/>
      <c r="Z42" s="0">
        <f>IF(OR(X42="",Y42=""),"",TEXT(Y42,"0.0%")&amp;" of "&amp;TEXT(X42,"0.0%"))</f>
      </c>
      <c r="AA42" s="5">
        <f>IF(OR(X42="",Y42="",X42=0),"",Y42/X42)</f>
      </c>
      <c r="AB42" s="4"/>
      <c r="AC42" s="4"/>
      <c r="AD42" s="0">
        <f>IF(OR(AB42="",AC42=""),"",TEXT(AC42,"0.0%")&amp;" of "&amp;TEXT(AB42,"0.0%"))</f>
      </c>
      <c r="AE42" s="5">
        <f>IF(OR(AB42="",AC42="",AB42=0),"",AC42/AB42)</f>
      </c>
    </row>
    <row r="43" ht="48" customHeight="1">
      <c r="A43" s="0" t="inlineStr">
        <is>
          <t xml:space="preserve">Unit economics</t>
        </is>
      </c>
      <c r="B43" s="0" t="inlineStr">
        <is>
          <t xml:space="preserve">Total acquisition spend</t>
        </is>
      </c>
      <c r="C43" s="6" t="inlineStr">
        <is>
          <t xml:space="preserve">Same dollars as ad spend, so this section can be read on its own. Close to 100% of the monthly budget is the goal.</t>
        </is>
      </c>
      <c r="D43" s="0" t="inlineStr">
        <is>
          <t xml:space="preserve">Currency</t>
        </is>
      </c>
      <c r="E43" s="0" t="inlineStr">
        <is>
          <t xml:space="preserve">On budget</t>
        </is>
      </c>
      <c r="F43" s="0" t="inlineStr">
        <is>
          <t xml:space="preserve">Campaign geo</t>
        </is>
      </c>
      <c r="G43" s="6" t="inlineStr">
        <is>
          <t xml:space="preserve">Meta, LinkedIn, Google Ads</t>
        </is>
      </c>
      <c r="H43" s="3"/>
      <c r="I43" s="3"/>
      <c r="J43" s="0">
        <f>IF(OR(H43="",I43=""),"",TEXT(I43,"$#,##0")&amp;" of "&amp;TEXT(H43,"$#,##0"))</f>
      </c>
      <c r="K43" s="5">
        <f>IF(OR(H43="",I43="",H43=0),"",I43/H43)</f>
      </c>
      <c r="L43" s="3"/>
      <c r="M43" s="3"/>
      <c r="N43" s="0">
        <f>IF(OR(L43="",M43=""),"",TEXT(M43,"$#,##0")&amp;" of "&amp;TEXT(L43,"$#,##0"))</f>
      </c>
      <c r="O43" s="5">
        <f>IF(OR(L43="",M43="",L43=0),"",M43/L43)</f>
      </c>
      <c r="P43" s="3"/>
      <c r="Q43" s="3"/>
      <c r="R43" s="0">
        <f>IF(OR(P43="",Q43=""),"",TEXT(Q43,"$#,##0")&amp;" of "&amp;TEXT(P43,"$#,##0"))</f>
      </c>
      <c r="S43" s="5">
        <f>IF(OR(P43="",Q43="",P43=0),"",Q43/P43)</f>
      </c>
      <c r="T43" s="3"/>
      <c r="U43" s="3"/>
      <c r="V43" s="0">
        <f>IF(OR(T43="",U43=""),"",TEXT(U43,"$#,##0")&amp;" of "&amp;TEXT(T43,"$#,##0"))</f>
      </c>
      <c r="W43" s="5">
        <f>IF(OR(T43="",U43="",T43=0),"",U43/T43)</f>
      </c>
      <c r="X43" s="3"/>
      <c r="Y43" s="3"/>
      <c r="Z43" s="0">
        <f>IF(OR(X43="",Y43=""),"",TEXT(Y43,"$#,##0")&amp;" of "&amp;TEXT(X43,"$#,##0"))</f>
      </c>
      <c r="AA43" s="5">
        <f>IF(OR(X43="",Y43="",X43=0),"",Y43/X43)</f>
      </c>
      <c r="AB43" s="3"/>
      <c r="AC43" s="3"/>
      <c r="AD43" s="0">
        <f>IF(OR(AB43="",AC43=""),"",TEXT(AC43,"$#,##0")&amp;" of "&amp;TEXT(AB43,"$#,##0"))</f>
      </c>
      <c r="AE43" s="5">
        <f>IF(OR(AB43="",AC43="",AB43=0),"",AC43/AB43)</f>
      </c>
    </row>
    <row r="44" ht="48" customHeight="1">
      <c r="A44" s="0" t="inlineStr">
        <is>
          <t xml:space="preserve">Unit economics</t>
        </is>
      </c>
      <c r="B44" s="0" t="inlineStr">
        <is>
          <t xml:space="preserve">CAC</t>
        </is>
      </c>
      <c r="C44" s="6" t="inlineStr">
        <is>
          <t xml:space="preserve">Ad spend divided by new sign-ups. For one day it is that day’s spend divided by that day’s new sign-ups. For a month it is the month’s spend divided by the month’s new sign-ups. Lower is better. Spend uses the campaign’s target country. Sign-ups use the account country.</t>
        </is>
      </c>
      <c r="D44" s="0" t="inlineStr">
        <is>
          <t xml:space="preserve">Currency</t>
        </is>
      </c>
      <c r="E44" s="0" t="inlineStr">
        <is>
          <t xml:space="preserve">Lower</t>
        </is>
      </c>
      <c r="F44" s="0" t="inlineStr">
        <is>
          <t xml:space="preserve">Campaign geo</t>
        </is>
      </c>
      <c r="G44" s="6" t="inlineStr">
        <is>
          <t xml:space="preserve">Meta, LinkedIn, Google Ads, PostHog</t>
        </is>
      </c>
      <c r="H44" s="3"/>
      <c r="I44" s="3"/>
      <c r="J44" s="0">
        <f>IF(OR(H44="",I44=""),"",TEXT(I44,"$#,##0")&amp;" of "&amp;TEXT(H44,"$#,##0"))</f>
      </c>
      <c r="K44" s="5">
        <f>IF(OR(H44="",I44="",I44=0),"",H44/I44)</f>
      </c>
      <c r="L44" s="3"/>
      <c r="M44" s="3"/>
      <c r="N44" s="0">
        <f>IF(OR(L44="",M44=""),"",TEXT(M44,"$#,##0")&amp;" of "&amp;TEXT(L44,"$#,##0"))</f>
      </c>
      <c r="O44" s="5">
        <f>IF(OR(L44="",M44="",M44=0),"",L44/M44)</f>
      </c>
      <c r="P44" s="3"/>
      <c r="Q44" s="3"/>
      <c r="R44" s="0">
        <f>IF(OR(P44="",Q44=""),"",TEXT(Q44,"$#,##0")&amp;" of "&amp;TEXT(P44,"$#,##0"))</f>
      </c>
      <c r="S44" s="5">
        <f>IF(OR(P44="",Q44="",Q44=0),"",P44/Q44)</f>
      </c>
      <c r="T44" s="3"/>
      <c r="U44" s="3"/>
      <c r="V44" s="0">
        <f>IF(OR(T44="",U44=""),"",TEXT(U44,"$#,##0")&amp;" of "&amp;TEXT(T44,"$#,##0"))</f>
      </c>
      <c r="W44" s="5">
        <f>IF(OR(T44="",U44="",U44=0),"",T44/U44)</f>
      </c>
      <c r="X44" s="3"/>
      <c r="Y44" s="3"/>
      <c r="Z44" s="0">
        <f>IF(OR(X44="",Y44=""),"",TEXT(Y44,"$#,##0")&amp;" of "&amp;TEXT(X44,"$#,##0"))</f>
      </c>
      <c r="AA44" s="5">
        <f>IF(OR(X44="",Y44="",Y44=0),"",X44/Y44)</f>
      </c>
      <c r="AB44" s="3"/>
      <c r="AC44" s="3"/>
      <c r="AD44" s="0">
        <f>IF(OR(AB44="",AC44=""),"",TEXT(AC44,"$#,##0")&amp;" of "&amp;TEXT(AB44,"$#,##0"))</f>
      </c>
      <c r="AE44" s="5">
        <f>IF(OR(AB44="",AC44="",AC44=0),"",AB44/AC44)</f>
      </c>
    </row>
    <row r="45" ht="48" customHeight="1">
      <c r="A45" s="0" t="inlineStr">
        <is>
          <t xml:space="preserve">Unit economics</t>
        </is>
      </c>
      <c r="B45" s="0" t="inlineStr">
        <is>
          <t xml:space="preserve">Cost per paying customer</t>
        </is>
      </c>
      <c r="C45" s="6" t="inlineStr">
        <is>
          <t xml:space="preserve">Ad spend divided by new paid subscriptions. This is what it costs to get one customer who starts paying. Lower is better.</t>
        </is>
      </c>
      <c r="D45" s="0" t="inlineStr">
        <is>
          <t xml:space="preserve">Currency</t>
        </is>
      </c>
      <c r="E45" s="0" t="inlineStr">
        <is>
          <t xml:space="preserve">Lower</t>
        </is>
      </c>
      <c r="F45" s="0" t="inlineStr">
        <is>
          <t xml:space="preserve">Campaign geo</t>
        </is>
      </c>
      <c r="G45" s="6" t="inlineStr">
        <is>
          <t xml:space="preserve">Meta, LinkedIn, Google Ads, platform billing (to confirm)</t>
        </is>
      </c>
      <c r="H45" s="3"/>
      <c r="I45" s="3"/>
      <c r="J45" s="0">
        <f>IF(OR(H45="",I45=""),"",TEXT(I45,"$#,##0")&amp;" of "&amp;TEXT(H45,"$#,##0"))</f>
      </c>
      <c r="K45" s="5">
        <f>IF(OR(H45="",I45="",I45=0),"",H45/I45)</f>
      </c>
      <c r="L45" s="3"/>
      <c r="M45" s="3"/>
      <c r="N45" s="0">
        <f>IF(OR(L45="",M45=""),"",TEXT(M45,"$#,##0")&amp;" of "&amp;TEXT(L45,"$#,##0"))</f>
      </c>
      <c r="O45" s="5">
        <f>IF(OR(L45="",M45="",M45=0),"",L45/M45)</f>
      </c>
      <c r="P45" s="3"/>
      <c r="Q45" s="3"/>
      <c r="R45" s="0">
        <f>IF(OR(P45="",Q45=""),"",TEXT(Q45,"$#,##0")&amp;" of "&amp;TEXT(P45,"$#,##0"))</f>
      </c>
      <c r="S45" s="5">
        <f>IF(OR(P45="",Q45="",Q45=0),"",P45/Q45)</f>
      </c>
      <c r="T45" s="3"/>
      <c r="U45" s="3"/>
      <c r="V45" s="0">
        <f>IF(OR(T45="",U45=""),"",TEXT(U45,"$#,##0")&amp;" of "&amp;TEXT(T45,"$#,##0"))</f>
      </c>
      <c r="W45" s="5">
        <f>IF(OR(T45="",U45="",U45=0),"",T45/U45)</f>
      </c>
      <c r="X45" s="3"/>
      <c r="Y45" s="3"/>
      <c r="Z45" s="0">
        <f>IF(OR(X45="",Y45=""),"",TEXT(Y45,"$#,##0")&amp;" of "&amp;TEXT(X45,"$#,##0"))</f>
      </c>
      <c r="AA45" s="5">
        <f>IF(OR(X45="",Y45="",Y45=0),"",X45/Y45)</f>
      </c>
      <c r="AB45" s="3"/>
      <c r="AC45" s="3"/>
      <c r="AD45" s="0">
        <f>IF(OR(AB45="",AC45=""),"",TEXT(AC45,"$#,##0")&amp;" of "&amp;TEXT(AB45,"$#,##0"))</f>
      </c>
      <c r="AE45" s="5">
        <f>IF(OR(AB45="",AC45="",AC45=0),"",AB45/AC45)</f>
      </c>
    </row>
    <row r="46" ht="48" customHeight="1">
      <c r="A46" s="0" t="inlineStr">
        <is>
          <t xml:space="preserve">Unit economics</t>
        </is>
      </c>
      <c r="B46" s="0" t="inlineStr">
        <is>
          <t xml:space="preserve">Cost per activated account</t>
        </is>
      </c>
      <c r="C46" s="6" t="inlineStr">
        <is>
          <t xml:space="preserve">Ad spend divided by activated accounts. Lower is better. Spend uses the campaign’s target country. Activated accounts use the account country.</t>
        </is>
      </c>
      <c r="D46" s="0" t="inlineStr">
        <is>
          <t xml:space="preserve">Currency</t>
        </is>
      </c>
      <c r="E46" s="0" t="inlineStr">
        <is>
          <t xml:space="preserve">Lower</t>
        </is>
      </c>
      <c r="F46" s="0" t="inlineStr">
        <is>
          <t xml:space="preserve">Campaign geo</t>
        </is>
      </c>
      <c r="G46" s="6" t="inlineStr">
        <is>
          <t xml:space="preserve">Meta, LinkedIn, Google Ads, PostHog</t>
        </is>
      </c>
      <c r="H46" s="3"/>
      <c r="I46" s="3"/>
      <c r="J46" s="0">
        <f>IF(OR(H46="",I46=""),"",TEXT(I46,"$#,##0")&amp;" of "&amp;TEXT(H46,"$#,##0"))</f>
      </c>
      <c r="K46" s="5">
        <f>IF(OR(H46="",I46="",I46=0),"",H46/I46)</f>
      </c>
      <c r="L46" s="3"/>
      <c r="M46" s="3"/>
      <c r="N46" s="0">
        <f>IF(OR(L46="",M46=""),"",TEXT(M46,"$#,##0")&amp;" of "&amp;TEXT(L46,"$#,##0"))</f>
      </c>
      <c r="O46" s="5">
        <f>IF(OR(L46="",M46="",M46=0),"",L46/M46)</f>
      </c>
      <c r="P46" s="3"/>
      <c r="Q46" s="3"/>
      <c r="R46" s="0">
        <f>IF(OR(P46="",Q46=""),"",TEXT(Q46,"$#,##0")&amp;" of "&amp;TEXT(P46,"$#,##0"))</f>
      </c>
      <c r="S46" s="5">
        <f>IF(OR(P46="",Q46="",Q46=0),"",P46/Q46)</f>
      </c>
      <c r="T46" s="3"/>
      <c r="U46" s="3"/>
      <c r="V46" s="0">
        <f>IF(OR(T46="",U46=""),"",TEXT(U46,"$#,##0")&amp;" of "&amp;TEXT(T46,"$#,##0"))</f>
      </c>
      <c r="W46" s="5">
        <f>IF(OR(T46="",U46="",U46=0),"",T46/U46)</f>
      </c>
      <c r="X46" s="3"/>
      <c r="Y46" s="3"/>
      <c r="Z46" s="0">
        <f>IF(OR(X46="",Y46=""),"",TEXT(Y46,"$#,##0")&amp;" of "&amp;TEXT(X46,"$#,##0"))</f>
      </c>
      <c r="AA46" s="5">
        <f>IF(OR(X46="",Y46="",Y46=0),"",X46/Y46)</f>
      </c>
      <c r="AB46" s="3"/>
      <c r="AC46" s="3"/>
      <c r="AD46" s="0">
        <f>IF(OR(AB46="",AC46=""),"",TEXT(AC46,"$#,##0")&amp;" of "&amp;TEXT(AB46,"$#,##0"))</f>
      </c>
      <c r="AE46" s="5">
        <f>IF(OR(AB46="",AC46="",AC46=0),"",AB46/AC46)</f>
      </c>
    </row>
  </sheetData>
  <autoFilter ref="A2:AE46"/>
  <mergeCells count="6">
    <mergeCell ref="H1:K1"/>
    <mergeCell ref="L1:O1"/>
    <mergeCell ref="P1:S1"/>
    <mergeCell ref="T1:W1"/>
    <mergeCell ref="X1:AA1"/>
    <mergeCell ref="AB1:AE1"/>
  </mergeCells>
  <conditionalFormatting sqref="K3:K46">
    <cfRule type="expression" dxfId="4" priority="1" stopIfTrue="1">
      <formula>AND(K3&lt;&gt;"",$E3="On budget",ABS(K3-1)&lt;=0.1)</formula>
    </cfRule>
    <cfRule type="expression" dxfId="2" priority="2" stopIfTrue="1">
      <formula>AND(K3&lt;&gt;"",$E3="On budget",ABS(K3-1)&lt;=0.2)</formula>
    </cfRule>
    <cfRule type="expression" dxfId="3" priority="3" stopIfTrue="1">
      <formula>AND(K3&lt;&gt;"",$E3="On budget")</formula>
    </cfRule>
    <cfRule type="expression" dxfId="0" priority="4" stopIfTrue="1">
      <formula>AND(K3&lt;&gt;"",$E3&lt;&gt;"On budget",K3&gt;=1.1)</formula>
    </cfRule>
    <cfRule type="expression" dxfId="1" priority="5" stopIfTrue="1">
      <formula>AND(K3&lt;&gt;"",$E3&lt;&gt;"On budget",K3&gt;=1)</formula>
    </cfRule>
    <cfRule type="expression" dxfId="2" priority="6" stopIfTrue="1">
      <formula>AND(K3&lt;&gt;"",$E3&lt;&gt;"On budget",K3&gt;=0.9)</formula>
    </cfRule>
    <cfRule type="expression" dxfId="3" priority="7" stopIfTrue="1">
      <formula>AND(K3&lt;&gt;"",$E3&lt;&gt;"On budget",K3&lt;0.9)</formula>
    </cfRule>
  </conditionalFormatting>
  <conditionalFormatting sqref="O3:O46">
    <cfRule type="expression" dxfId="4" priority="1" stopIfTrue="1">
      <formula>AND(O3&lt;&gt;"",$E3="On budget",ABS(O3-1)&lt;=0.1)</formula>
    </cfRule>
    <cfRule type="expression" dxfId="2" priority="2" stopIfTrue="1">
      <formula>AND(O3&lt;&gt;"",$E3="On budget",ABS(O3-1)&lt;=0.2)</formula>
    </cfRule>
    <cfRule type="expression" dxfId="3" priority="3" stopIfTrue="1">
      <formula>AND(O3&lt;&gt;"",$E3="On budget")</formula>
    </cfRule>
    <cfRule type="expression" dxfId="0" priority="4" stopIfTrue="1">
      <formula>AND(O3&lt;&gt;"",$E3&lt;&gt;"On budget",O3&gt;=1.1)</formula>
    </cfRule>
    <cfRule type="expression" dxfId="1" priority="5" stopIfTrue="1">
      <formula>AND(O3&lt;&gt;"",$E3&lt;&gt;"On budget",O3&gt;=1)</formula>
    </cfRule>
    <cfRule type="expression" dxfId="2" priority="6" stopIfTrue="1">
      <formula>AND(O3&lt;&gt;"",$E3&lt;&gt;"On budget",O3&gt;=0.9)</formula>
    </cfRule>
    <cfRule type="expression" dxfId="3" priority="7" stopIfTrue="1">
      <formula>AND(O3&lt;&gt;"",$E3&lt;&gt;"On budget",O3&lt;0.9)</formula>
    </cfRule>
  </conditionalFormatting>
  <conditionalFormatting sqref="S3:S46">
    <cfRule type="expression" dxfId="4" priority="1" stopIfTrue="1">
      <formula>AND(S3&lt;&gt;"",$E3="On budget",ABS(S3-1)&lt;=0.1)</formula>
    </cfRule>
    <cfRule type="expression" dxfId="2" priority="2" stopIfTrue="1">
      <formula>AND(S3&lt;&gt;"",$E3="On budget",ABS(S3-1)&lt;=0.2)</formula>
    </cfRule>
    <cfRule type="expression" dxfId="3" priority="3" stopIfTrue="1">
      <formula>AND(S3&lt;&gt;"",$E3="On budget")</formula>
    </cfRule>
    <cfRule type="expression" dxfId="0" priority="4" stopIfTrue="1">
      <formula>AND(S3&lt;&gt;"",$E3&lt;&gt;"On budget",S3&gt;=1.1)</formula>
    </cfRule>
    <cfRule type="expression" dxfId="1" priority="5" stopIfTrue="1">
      <formula>AND(S3&lt;&gt;"",$E3&lt;&gt;"On budget",S3&gt;=1)</formula>
    </cfRule>
    <cfRule type="expression" dxfId="2" priority="6" stopIfTrue="1">
      <formula>AND(S3&lt;&gt;"",$E3&lt;&gt;"On budget",S3&gt;=0.9)</formula>
    </cfRule>
    <cfRule type="expression" dxfId="3" priority="7" stopIfTrue="1">
      <formula>AND(S3&lt;&gt;"",$E3&lt;&gt;"On budget",S3&lt;0.9)</formula>
    </cfRule>
  </conditionalFormatting>
  <conditionalFormatting sqref="W3:W46">
    <cfRule type="expression" dxfId="4" priority="1" stopIfTrue="1">
      <formula>AND(W3&lt;&gt;"",$E3="On budget",ABS(W3-1)&lt;=0.1)</formula>
    </cfRule>
    <cfRule type="expression" dxfId="2" priority="2" stopIfTrue="1">
      <formula>AND(W3&lt;&gt;"",$E3="On budget",ABS(W3-1)&lt;=0.2)</formula>
    </cfRule>
    <cfRule type="expression" dxfId="3" priority="3" stopIfTrue="1">
      <formula>AND(W3&lt;&gt;"",$E3="On budget")</formula>
    </cfRule>
    <cfRule type="expression" dxfId="0" priority="4" stopIfTrue="1">
      <formula>AND(W3&lt;&gt;"",$E3&lt;&gt;"On budget",W3&gt;=1.1)</formula>
    </cfRule>
    <cfRule type="expression" dxfId="1" priority="5" stopIfTrue="1">
      <formula>AND(W3&lt;&gt;"",$E3&lt;&gt;"On budget",W3&gt;=1)</formula>
    </cfRule>
    <cfRule type="expression" dxfId="2" priority="6" stopIfTrue="1">
      <formula>AND(W3&lt;&gt;"",$E3&lt;&gt;"On budget",W3&gt;=0.9)</formula>
    </cfRule>
    <cfRule type="expression" dxfId="3" priority="7" stopIfTrue="1">
      <formula>AND(W3&lt;&gt;"",$E3&lt;&gt;"On budget",W3&lt;0.9)</formula>
    </cfRule>
  </conditionalFormatting>
  <conditionalFormatting sqref="AA3:AA46">
    <cfRule type="expression" dxfId="4" priority="1" stopIfTrue="1">
      <formula>AND(AA3&lt;&gt;"",$E3="On budget",ABS(AA3-1)&lt;=0.1)</formula>
    </cfRule>
    <cfRule type="expression" dxfId="2" priority="2" stopIfTrue="1">
      <formula>AND(AA3&lt;&gt;"",$E3="On budget",ABS(AA3-1)&lt;=0.2)</formula>
    </cfRule>
    <cfRule type="expression" dxfId="3" priority="3" stopIfTrue="1">
      <formula>AND(AA3&lt;&gt;"",$E3="On budget")</formula>
    </cfRule>
    <cfRule type="expression" dxfId="0" priority="4" stopIfTrue="1">
      <formula>AND(AA3&lt;&gt;"",$E3&lt;&gt;"On budget",AA3&gt;=1.1)</formula>
    </cfRule>
    <cfRule type="expression" dxfId="1" priority="5" stopIfTrue="1">
      <formula>AND(AA3&lt;&gt;"",$E3&lt;&gt;"On budget",AA3&gt;=1)</formula>
    </cfRule>
    <cfRule type="expression" dxfId="2" priority="6" stopIfTrue="1">
      <formula>AND(AA3&lt;&gt;"",$E3&lt;&gt;"On budget",AA3&gt;=0.9)</formula>
    </cfRule>
    <cfRule type="expression" dxfId="3" priority="7" stopIfTrue="1">
      <formula>AND(AA3&lt;&gt;"",$E3&lt;&gt;"On budget",AA3&lt;0.9)</formula>
    </cfRule>
  </conditionalFormatting>
  <conditionalFormatting sqref="AE3:AE46">
    <cfRule type="expression" dxfId="4" priority="1" stopIfTrue="1">
      <formula>AND(AE3&lt;&gt;"",$E3="On budget",ABS(AE3-1)&lt;=0.1)</formula>
    </cfRule>
    <cfRule type="expression" dxfId="2" priority="2" stopIfTrue="1">
      <formula>AND(AE3&lt;&gt;"",$E3="On budget",ABS(AE3-1)&lt;=0.2)</formula>
    </cfRule>
    <cfRule type="expression" dxfId="3" priority="3" stopIfTrue="1">
      <formula>AND(AE3&lt;&gt;"",$E3="On budget")</formula>
    </cfRule>
    <cfRule type="expression" dxfId="0" priority="4" stopIfTrue="1">
      <formula>AND(AE3&lt;&gt;"",$E3&lt;&gt;"On budget",AE3&gt;=1.1)</formula>
    </cfRule>
    <cfRule type="expression" dxfId="1" priority="5" stopIfTrue="1">
      <formula>AND(AE3&lt;&gt;"",$E3&lt;&gt;"On budget",AE3&gt;=1)</formula>
    </cfRule>
    <cfRule type="expression" dxfId="2" priority="6" stopIfTrue="1">
      <formula>AND(AE3&lt;&gt;"",$E3&lt;&gt;"On budget",AE3&gt;=0.9)</formula>
    </cfRule>
    <cfRule type="expression" dxfId="3" priority="7" stopIfTrue="1">
      <formula>AND(AE3&lt;&gt;"",$E3&lt;&gt;"On budget",AE3&lt;0.9)</formula>
    </cfRule>
  </conditionalFormatting>
  <pageMargins left="0.5" right="0.5" top="0.5" bottom="0.5" header="0.2" footer="0.2"/>
</worksheet>
</file>

<file path=xl/worksheets/sheet3.xml><?xml version="1.0" encoding="utf-8"?>
<worksheet xmlns="http://schemas.openxmlformats.org/spreadsheetml/2006/main">
  <cols>
    <col min="1" max="1" width="24" customWidth="1"/>
    <col min="2" max="2" width="36" customWidth="1"/>
    <col min="3" max="3" width="32" customWidth="1"/>
  </cols>
  <sheetData>
    <row r="1" ht="22" customHeight="1">
      <c r="A1" s="1" t="inlineStr">
        <is>
          <t xml:space="preserve">Country</t>
        </is>
      </c>
      <c r="B1" s="1" t="inlineStr">
        <is>
          <t xml:space="preserve">Seen in</t>
        </is>
      </c>
      <c r="C1" s="1" t="inlineStr">
        <is>
          <t xml:space="preserve">Include in the dashboard list</t>
        </is>
      </c>
    </row>
    <row r="2">
      <c r="A2" s="0" t="inlineStr">
        <is>
          <t xml:space="preserve">Colombia</t>
        </is>
      </c>
      <c r="B2" s="0" t="inlineStr">
        <is>
          <t xml:space="preserve">HubSpot, GA4, PostHog</t>
        </is>
      </c>
      <c r="C2" s="2" t="inlineStr">
        <is>
          <t xml:space="preserve">Yes</t>
        </is>
      </c>
    </row>
    <row r="3">
      <c r="A3" s="0" t="inlineStr">
        <is>
          <t xml:space="preserve">United States</t>
        </is>
      </c>
      <c r="B3" s="0" t="inlineStr">
        <is>
          <t xml:space="preserve">HubSpot, GA4, PostHog</t>
        </is>
      </c>
      <c r="C3" s="2" t="inlineStr">
        <is>
          <t xml:space="preserve">Yes</t>
        </is>
      </c>
    </row>
    <row r="4">
      <c r="A4" s="0" t="inlineStr">
        <is>
          <t xml:space="preserve">Canada</t>
        </is>
      </c>
      <c r="B4" s="0" t="inlineStr">
        <is>
          <t xml:space="preserve">HubSpot, GA4, PostHog</t>
        </is>
      </c>
      <c r="C4" s="2" t="inlineStr">
        <is>
          <t xml:space="preserve">Yes</t>
        </is>
      </c>
    </row>
    <row r="5">
      <c r="A5" s="0" t="inlineStr">
        <is>
          <t xml:space="preserve">India</t>
        </is>
      </c>
      <c r="B5" s="0" t="inlineStr">
        <is>
          <t xml:space="preserve">HubSpot, PostHog</t>
        </is>
      </c>
      <c r="C5" s="2" t="inlineStr">
        <is>
          <t xml:space="preserve">Yes</t>
        </is>
      </c>
    </row>
    <row r="6">
      <c r="A6" s="0" t="inlineStr">
        <is>
          <t xml:space="preserve">Bangladesh</t>
        </is>
      </c>
      <c r="B6" s="0" t="inlineStr">
        <is>
          <t xml:space="preserve">HubSpot, GA4, PostHog</t>
        </is>
      </c>
      <c r="C6" s="2" t="inlineStr">
        <is>
          <t xml:space="preserve">Yes</t>
        </is>
      </c>
    </row>
    <row r="7">
      <c r="A7" s="0" t="inlineStr">
        <is>
          <t xml:space="preserve">Curaçao</t>
        </is>
      </c>
      <c r="B7" s="0" t="inlineStr">
        <is>
          <t xml:space="preserve">PostHog</t>
        </is>
      </c>
      <c r="C7" s="2" t="inlineStr">
        <is>
          <t xml:space="preserve">Yes</t>
        </is>
      </c>
    </row>
    <row r="8">
      <c r="A8" s="0" t="inlineStr">
        <is>
          <t xml:space="preserve">Philippines</t>
        </is>
      </c>
      <c r="B8" s="0" t="inlineStr">
        <is>
          <t xml:space="preserve">PostHog</t>
        </is>
      </c>
      <c r="C8" s="2" t="inlineStr">
        <is>
          <t xml:space="preserve">Yes</t>
        </is>
      </c>
    </row>
    <row r="9">
      <c r="A9" s="0" t="inlineStr">
        <is>
          <t xml:space="preserve">Malaysia</t>
        </is>
      </c>
      <c r="B9" s="0" t="inlineStr">
        <is>
          <t xml:space="preserve">PostHog</t>
        </is>
      </c>
      <c r="C9" s="2" t="inlineStr">
        <is>
          <t xml:space="preserve">Yes</t>
        </is>
      </c>
    </row>
    <row r="10">
      <c r="A10" s="0" t="inlineStr">
        <is>
          <t xml:space="preserve">Bulgaria</t>
        </is>
      </c>
      <c r="B10" s="0" t="inlineStr">
        <is>
          <t xml:space="preserve">PostHog</t>
        </is>
      </c>
      <c r="C10" s="2" t="inlineStr">
        <is>
          <t xml:space="preserve">Yes</t>
        </is>
      </c>
    </row>
    <row r="11">
      <c r="A11" s="0" t="inlineStr">
        <is>
          <t xml:space="preserve">Singapore</t>
        </is>
      </c>
      <c r="B11" s="0" t="inlineStr">
        <is>
          <t xml:space="preserve">PostHog</t>
        </is>
      </c>
      <c r="C11" s="2" t="inlineStr">
        <is>
          <t xml:space="preserve">Yes</t>
        </is>
      </c>
    </row>
    <row r="12">
      <c r="A12" s="0" t="inlineStr">
        <is>
          <t xml:space="preserve">Trinidad and Tobago</t>
        </is>
      </c>
      <c r="B12" s="0" t="inlineStr">
        <is>
          <t xml:space="preserve">PostHog</t>
        </is>
      </c>
      <c r="C12" s="2" t="inlineStr">
        <is>
          <t xml:space="preserve">Yes</t>
        </is>
      </c>
    </row>
    <row r="13">
      <c r="A13" s="0" t="inlineStr">
        <is>
          <t xml:space="preserve">Serbia</t>
        </is>
      </c>
      <c r="B13" s="0" t="inlineStr">
        <is>
          <t xml:space="preserve">PostHog</t>
        </is>
      </c>
      <c r="C13" s="2" t="inlineStr">
        <is>
          <t xml:space="preserve">Yes</t>
        </is>
      </c>
    </row>
    <row r="14">
      <c r="A14" s="0" t="inlineStr">
        <is>
          <t xml:space="preserve">Brazil</t>
        </is>
      </c>
      <c r="B14" s="0" t="inlineStr">
        <is>
          <t xml:space="preserve">PostHog</t>
        </is>
      </c>
      <c r="C14" s="2" t="inlineStr">
        <is>
          <t xml:space="preserve">Yes</t>
        </is>
      </c>
    </row>
    <row r="15">
      <c r="A15" s="0" t="inlineStr">
        <is>
          <t xml:space="preserve">The Netherlands</t>
        </is>
      </c>
      <c r="B15" s="0" t="inlineStr">
        <is>
          <t xml:space="preserve">PostHog</t>
        </is>
      </c>
      <c r="C15" s="2" t="inlineStr">
        <is>
          <t xml:space="preserve">Yes</t>
        </is>
      </c>
    </row>
    <row r="16">
      <c r="A16" s="0" t="inlineStr">
        <is>
          <t xml:space="preserve">Australia</t>
        </is>
      </c>
      <c r="B16" s="0" t="inlineStr">
        <is>
          <t xml:space="preserve">PostHog</t>
        </is>
      </c>
      <c r="C16" s="2" t="inlineStr">
        <is>
          <t xml:space="preserve">Yes</t>
        </is>
      </c>
    </row>
  </sheetData>
  <autoFilter ref="A1:C16"/>
</worksheet>
</file>